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ocob\Downloads\"/>
    </mc:Choice>
  </mc:AlternateContent>
  <xr:revisionPtr revIDLastSave="0" documentId="13_ncr:1_{5BE3D161-C86A-43EB-B14A-10930954D161}" xr6:coauthVersionLast="47" xr6:coauthVersionMax="47" xr10:uidLastSave="{00000000-0000-0000-0000-000000000000}"/>
  <bookViews>
    <workbookView xWindow="-120" yWindow="-120" windowWidth="29040" windowHeight="15855" tabRatio="500" xr2:uid="{00000000-000D-0000-FFFF-FFFF00000000}"/>
  </bookViews>
  <sheets>
    <sheet name="Huong dan" sheetId="1" r:id="rId1"/>
    <sheet name="Tong hop" sheetId="2" r:id="rId2"/>
    <sheet name="WBS" sheetId="3" r:id="rId3"/>
    <sheet name="Gantt" sheetId="4" r:id="rId4"/>
    <sheet name="Resources" sheetId="5" r:id="rId5"/>
    <sheet name="Sprint 1" sheetId="6" r:id="rId6"/>
    <sheet name="Sprint 2" sheetId="7" r:id="rId7"/>
    <sheet name="Sprint 3" sheetId="8" r:id="rId8"/>
    <sheet name="Sprint 4" sheetId="9" r:id="rId9"/>
    <sheet name="Sprint 5" sheetId="10" r:id="rId10"/>
    <sheet name="Sprint 6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1" i="11" l="1"/>
  <c r="I31" i="11"/>
  <c r="H31" i="11"/>
  <c r="J30" i="11"/>
  <c r="I30" i="11"/>
  <c r="H30" i="11"/>
  <c r="J29" i="11"/>
  <c r="I29" i="11"/>
  <c r="H29" i="11"/>
  <c r="J28" i="11"/>
  <c r="I28" i="11"/>
  <c r="H28" i="11"/>
  <c r="J27" i="11"/>
  <c r="I27" i="11"/>
  <c r="H27" i="11"/>
  <c r="F2" i="11"/>
  <c r="J29" i="10"/>
  <c r="I29" i="10"/>
  <c r="H29" i="10"/>
  <c r="J28" i="10"/>
  <c r="I28" i="10"/>
  <c r="H28" i="10"/>
  <c r="J27" i="10"/>
  <c r="I27" i="10"/>
  <c r="H27" i="10"/>
  <c r="F2" i="10"/>
  <c r="J31" i="9"/>
  <c r="I31" i="9"/>
  <c r="H31" i="9"/>
  <c r="J30" i="9"/>
  <c r="I30" i="9"/>
  <c r="H30" i="9"/>
  <c r="J29" i="9"/>
  <c r="I29" i="9"/>
  <c r="H29" i="9"/>
  <c r="J28" i="9"/>
  <c r="I28" i="9"/>
  <c r="H28" i="9"/>
  <c r="J27" i="9"/>
  <c r="I27" i="9"/>
  <c r="H27" i="9"/>
  <c r="F2" i="9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F2" i="8"/>
  <c r="J31" i="7"/>
  <c r="I31" i="7"/>
  <c r="H31" i="7"/>
  <c r="J30" i="7"/>
  <c r="I30" i="7"/>
  <c r="H30" i="7"/>
  <c r="J29" i="7"/>
  <c r="I29" i="7"/>
  <c r="H29" i="7"/>
  <c r="J28" i="7"/>
  <c r="I28" i="7"/>
  <c r="H28" i="7"/>
  <c r="J27" i="7"/>
  <c r="I27" i="7"/>
  <c r="H27" i="7"/>
  <c r="F2" i="7"/>
  <c r="J29" i="6"/>
  <c r="I29" i="6"/>
  <c r="H29" i="6"/>
  <c r="J28" i="6"/>
  <c r="I28" i="6"/>
  <c r="H28" i="6"/>
  <c r="J27" i="6"/>
  <c r="I27" i="6"/>
  <c r="H27" i="6"/>
  <c r="F2" i="6"/>
  <c r="C119" i="4"/>
  <c r="B119" i="4"/>
  <c r="A119" i="4"/>
  <c r="C118" i="4"/>
  <c r="B118" i="4"/>
  <c r="A118" i="4"/>
  <c r="C117" i="4"/>
  <c r="B117" i="4"/>
  <c r="A117" i="4"/>
  <c r="C116" i="4"/>
  <c r="B116" i="4"/>
  <c r="A116" i="4"/>
  <c r="C115" i="4"/>
  <c r="B115" i="4"/>
  <c r="A115" i="4"/>
  <c r="C114" i="4"/>
  <c r="B114" i="4"/>
  <c r="A114" i="4"/>
  <c r="C113" i="4"/>
  <c r="B113" i="4"/>
  <c r="A113" i="4"/>
  <c r="C112" i="4"/>
  <c r="B112" i="4"/>
  <c r="A112" i="4"/>
  <c r="C111" i="4"/>
  <c r="B111" i="4"/>
  <c r="A111" i="4"/>
  <c r="C110" i="4"/>
  <c r="B110" i="4"/>
  <c r="A110" i="4"/>
  <c r="C109" i="4"/>
  <c r="B109" i="4"/>
  <c r="A109" i="4"/>
  <c r="C108" i="4"/>
  <c r="B108" i="4"/>
  <c r="A108" i="4"/>
  <c r="C107" i="4"/>
  <c r="B107" i="4"/>
  <c r="A107" i="4"/>
  <c r="C106" i="4"/>
  <c r="B106" i="4"/>
  <c r="A106" i="4"/>
  <c r="C105" i="4"/>
  <c r="B105" i="4"/>
  <c r="A105" i="4"/>
  <c r="C104" i="4"/>
  <c r="B104" i="4"/>
  <c r="A104" i="4"/>
  <c r="C103" i="4"/>
  <c r="B103" i="4"/>
  <c r="A103" i="4"/>
  <c r="C102" i="4"/>
  <c r="B102" i="4"/>
  <c r="A102" i="4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K5" i="4"/>
  <c r="CK4" i="4" s="1"/>
  <c r="CJ5" i="4"/>
  <c r="CJ4" i="4" s="1"/>
  <c r="CI5" i="4"/>
  <c r="CI4" i="4" s="1"/>
  <c r="CH5" i="4"/>
  <c r="CH4" i="4" s="1"/>
  <c r="CG5" i="4"/>
  <c r="CG4" i="4" s="1"/>
  <c r="CF5" i="4"/>
  <c r="CF4" i="4" s="1"/>
  <c r="CE5" i="4"/>
  <c r="CE4" i="4" s="1"/>
  <c r="CD5" i="4"/>
  <c r="CD4" i="4" s="1"/>
  <c r="CC5" i="4"/>
  <c r="CC4" i="4" s="1"/>
  <c r="CB5" i="4"/>
  <c r="CB4" i="4" s="1"/>
  <c r="CA5" i="4"/>
  <c r="CA4" i="4" s="1"/>
  <c r="BZ5" i="4"/>
  <c r="BZ4" i="4" s="1"/>
  <c r="BY5" i="4"/>
  <c r="BY4" i="4" s="1"/>
  <c r="BX5" i="4"/>
  <c r="BX4" i="4" s="1"/>
  <c r="BW5" i="4"/>
  <c r="BW4" i="4" s="1"/>
  <c r="BV5" i="4"/>
  <c r="BV4" i="4" s="1"/>
  <c r="BU5" i="4"/>
  <c r="BU4" i="4" s="1"/>
  <c r="BT5" i="4"/>
  <c r="BT4" i="4" s="1"/>
  <c r="BS5" i="4"/>
  <c r="BS4" i="4" s="1"/>
  <c r="BR5" i="4"/>
  <c r="BR4" i="4" s="1"/>
  <c r="BQ5" i="4"/>
  <c r="BQ4" i="4" s="1"/>
  <c r="BP5" i="4"/>
  <c r="BP4" i="4" s="1"/>
  <c r="BO5" i="4"/>
  <c r="BO4" i="4" s="1"/>
  <c r="BN5" i="4"/>
  <c r="BN4" i="4" s="1"/>
  <c r="BM5" i="4"/>
  <c r="BM4" i="4" s="1"/>
  <c r="BL5" i="4"/>
  <c r="BL4" i="4" s="1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120" i="3"/>
  <c r="F118" i="3"/>
  <c r="G118" i="3" s="1"/>
  <c r="F117" i="3"/>
  <c r="G117" i="3" s="1"/>
  <c r="F114" i="3"/>
  <c r="G114" i="3" s="1"/>
  <c r="F113" i="3"/>
  <c r="G113" i="3" s="1"/>
  <c r="F110" i="3"/>
  <c r="G110" i="3" s="1"/>
  <c r="F109" i="3"/>
  <c r="G109" i="3" s="1"/>
  <c r="F106" i="3"/>
  <c r="G106" i="3" s="1"/>
  <c r="F105" i="3"/>
  <c r="G105" i="3" s="1"/>
  <c r="M103" i="3"/>
  <c r="M102" i="3"/>
  <c r="F102" i="3"/>
  <c r="G102" i="3" s="1"/>
  <c r="M101" i="3"/>
  <c r="F101" i="3"/>
  <c r="H99" i="3"/>
  <c r="E99" i="3"/>
  <c r="B2" i="11" s="1"/>
  <c r="F97" i="3"/>
  <c r="G97" i="3" s="1"/>
  <c r="F96" i="3"/>
  <c r="G96" i="3" s="1"/>
  <c r="F93" i="3"/>
  <c r="G93" i="3" s="1"/>
  <c r="F92" i="3"/>
  <c r="G92" i="3" s="1"/>
  <c r="M90" i="3"/>
  <c r="M89" i="3"/>
  <c r="F89" i="3"/>
  <c r="M88" i="3"/>
  <c r="G88" i="3"/>
  <c r="F88" i="3"/>
  <c r="H86" i="3"/>
  <c r="E86" i="3"/>
  <c r="B2" i="10" s="1"/>
  <c r="F84" i="3"/>
  <c r="G84" i="3" s="1"/>
  <c r="F83" i="3"/>
  <c r="G83" i="3" s="1"/>
  <c r="F80" i="3"/>
  <c r="G80" i="3" s="1"/>
  <c r="F79" i="3"/>
  <c r="G79" i="3" s="1"/>
  <c r="F76" i="3"/>
  <c r="G76" i="3" s="1"/>
  <c r="F75" i="3"/>
  <c r="G75" i="3" s="1"/>
  <c r="F72" i="3"/>
  <c r="G72" i="3" s="1"/>
  <c r="F71" i="3"/>
  <c r="G71" i="3" s="1"/>
  <c r="M69" i="3"/>
  <c r="M68" i="3"/>
  <c r="F68" i="3"/>
  <c r="G68" i="3" s="1"/>
  <c r="M67" i="3"/>
  <c r="F67" i="3"/>
  <c r="H65" i="3"/>
  <c r="E65" i="3"/>
  <c r="B2" i="9" s="1"/>
  <c r="F63" i="3"/>
  <c r="G63" i="3" s="1"/>
  <c r="F62" i="3"/>
  <c r="G62" i="3" s="1"/>
  <c r="F59" i="3"/>
  <c r="G59" i="3" s="1"/>
  <c r="F58" i="3"/>
  <c r="G58" i="3" s="1"/>
  <c r="F55" i="3"/>
  <c r="G55" i="3" s="1"/>
  <c r="F54" i="3"/>
  <c r="G54" i="3" s="1"/>
  <c r="F51" i="3"/>
  <c r="G51" i="3" s="1"/>
  <c r="F50" i="3"/>
  <c r="G50" i="3" s="1"/>
  <c r="F47" i="3"/>
  <c r="G47" i="3" s="1"/>
  <c r="F46" i="3"/>
  <c r="G46" i="3" s="1"/>
  <c r="F43" i="3"/>
  <c r="G43" i="3" s="1"/>
  <c r="M42" i="3"/>
  <c r="H42" i="3"/>
  <c r="F42" i="3"/>
  <c r="H40" i="3"/>
  <c r="E40" i="3"/>
  <c r="B2" i="8" s="1"/>
  <c r="F38" i="3"/>
  <c r="G38" i="3" s="1"/>
  <c r="G37" i="3"/>
  <c r="F37" i="3"/>
  <c r="F34" i="3"/>
  <c r="G34" i="3" s="1"/>
  <c r="F33" i="3"/>
  <c r="G33" i="3" s="1"/>
  <c r="F30" i="3"/>
  <c r="G30" i="3" s="1"/>
  <c r="F29" i="3"/>
  <c r="G29" i="3" s="1"/>
  <c r="F26" i="3"/>
  <c r="G26" i="3" s="1"/>
  <c r="F25" i="3"/>
  <c r="G25" i="3" s="1"/>
  <c r="F22" i="3"/>
  <c r="G22" i="3" s="1"/>
  <c r="M21" i="3"/>
  <c r="F21" i="3"/>
  <c r="H19" i="3"/>
  <c r="E19" i="3"/>
  <c r="B2" i="7" s="1"/>
  <c r="F17" i="3"/>
  <c r="G17" i="3" s="1"/>
  <c r="F16" i="3"/>
  <c r="G16" i="3" s="1"/>
  <c r="F13" i="3"/>
  <c r="G13" i="3" s="1"/>
  <c r="F12" i="3"/>
  <c r="G12" i="3" s="1"/>
  <c r="F9" i="3"/>
  <c r="G9" i="3" s="1"/>
  <c r="M8" i="3"/>
  <c r="F8" i="3"/>
  <c r="H6" i="3"/>
  <c r="E6" i="3"/>
  <c r="B2" i="6" s="1"/>
  <c r="H3" i="3"/>
  <c r="E9" i="2"/>
  <c r="C9" i="2"/>
  <c r="B9" i="2"/>
  <c r="E8" i="2"/>
  <c r="C8" i="2"/>
  <c r="B8" i="2"/>
  <c r="E7" i="2"/>
  <c r="C7" i="2"/>
  <c r="B7" i="2"/>
  <c r="E6" i="2"/>
  <c r="C6" i="2"/>
  <c r="B6" i="2"/>
  <c r="E5" i="2"/>
  <c r="C5" i="2"/>
  <c r="B5" i="2"/>
  <c r="E4" i="2"/>
  <c r="C4" i="2"/>
  <c r="C10" i="2" s="1"/>
  <c r="B4" i="2"/>
  <c r="B10" i="2" s="1"/>
  <c r="H103" i="3" l="1"/>
  <c r="D103" i="4" s="1"/>
  <c r="I102" i="3"/>
  <c r="E102" i="4" s="1"/>
  <c r="H102" i="3"/>
  <c r="D102" i="4" s="1"/>
  <c r="H101" i="3"/>
  <c r="I101" i="3"/>
  <c r="G101" i="3"/>
  <c r="M114" i="3"/>
  <c r="M110" i="3"/>
  <c r="I99" i="3"/>
  <c r="D99" i="4"/>
  <c r="D2" i="11"/>
  <c r="C6" i="11"/>
  <c r="E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H90" i="3"/>
  <c r="D90" i="4" s="1"/>
  <c r="I89" i="3"/>
  <c r="E89" i="4" s="1"/>
  <c r="H89" i="3"/>
  <c r="D89" i="4" s="1"/>
  <c r="G89" i="3"/>
  <c r="I88" i="3"/>
  <c r="H88" i="3"/>
  <c r="D2" i="10"/>
  <c r="D86" i="4"/>
  <c r="I86" i="3"/>
  <c r="C6" i="10"/>
  <c r="E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H69" i="3"/>
  <c r="D69" i="4" s="1"/>
  <c r="H68" i="3"/>
  <c r="D68" i="4" s="1"/>
  <c r="I68" i="3"/>
  <c r="E68" i="4" s="1"/>
  <c r="I67" i="3"/>
  <c r="H67" i="3"/>
  <c r="G67" i="3"/>
  <c r="D65" i="4"/>
  <c r="I65" i="3"/>
  <c r="D2" i="9"/>
  <c r="C6" i="9"/>
  <c r="E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D42" i="4"/>
  <c r="G42" i="3"/>
  <c r="M44" i="3"/>
  <c r="M43" i="3"/>
  <c r="I42" i="3"/>
  <c r="I40" i="3"/>
  <c r="D2" i="8"/>
  <c r="D40" i="4"/>
  <c r="C9" i="8"/>
  <c r="C11" i="8"/>
  <c r="C13" i="8"/>
  <c r="C16" i="8"/>
  <c r="C19" i="8"/>
  <c r="C20" i="8"/>
  <c r="C6" i="8"/>
  <c r="E6" i="8"/>
  <c r="C7" i="8"/>
  <c r="C8" i="8"/>
  <c r="C10" i="8"/>
  <c r="C12" i="8"/>
  <c r="C14" i="8"/>
  <c r="C15" i="8"/>
  <c r="C17" i="8"/>
  <c r="C18" i="8"/>
  <c r="I21" i="3"/>
  <c r="H21" i="3"/>
  <c r="G21" i="3"/>
  <c r="M22" i="3"/>
  <c r="M23" i="3"/>
  <c r="D2" i="7"/>
  <c r="I19" i="3"/>
  <c r="D19" i="4"/>
  <c r="C6" i="7"/>
  <c r="E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I8" i="3"/>
  <c r="H8" i="3"/>
  <c r="M10" i="3"/>
  <c r="G8" i="3"/>
  <c r="M9" i="3"/>
  <c r="D6" i="4"/>
  <c r="D2" i="6"/>
  <c r="I6" i="3"/>
  <c r="C6" i="6"/>
  <c r="E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F64" i="3"/>
  <c r="F39" i="3"/>
  <c r="F23" i="3"/>
  <c r="F85" i="3"/>
  <c r="F81" i="3"/>
  <c r="F18" i="3"/>
  <c r="F103" i="3"/>
  <c r="F60" i="3"/>
  <c r="F52" i="3"/>
  <c r="F31" i="3"/>
  <c r="F35" i="3"/>
  <c r="F27" i="3"/>
  <c r="F111" i="3"/>
  <c r="F119" i="3"/>
  <c r="F48" i="3"/>
  <c r="F73" i="3"/>
  <c r="F69" i="3"/>
  <c r="F107" i="3"/>
  <c r="F14" i="3"/>
  <c r="F10" i="3"/>
  <c r="F44" i="3"/>
  <c r="F115" i="3"/>
  <c r="F56" i="3"/>
  <c r="F90" i="3"/>
  <c r="F98" i="3"/>
  <c r="F77" i="3"/>
  <c r="F94" i="3"/>
  <c r="D101" i="4" l="1"/>
  <c r="H100" i="3"/>
  <c r="D100" i="4" s="1"/>
  <c r="E101" i="4"/>
  <c r="I100" i="3"/>
  <c r="H114" i="3"/>
  <c r="D114" i="4" s="1"/>
  <c r="I114" i="3"/>
  <c r="E114" i="4" s="1"/>
  <c r="H110" i="3"/>
  <c r="D110" i="4" s="1"/>
  <c r="I110" i="3"/>
  <c r="E110" i="4" s="1"/>
  <c r="E99" i="4"/>
  <c r="F9" i="2"/>
  <c r="H9" i="2" s="1"/>
  <c r="D3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E88" i="4"/>
  <c r="D88" i="4"/>
  <c r="H87" i="3"/>
  <c r="D87" i="4" s="1"/>
  <c r="D3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E86" i="4"/>
  <c r="F8" i="2"/>
  <c r="H8" i="2" s="1"/>
  <c r="E67" i="4"/>
  <c r="D67" i="4"/>
  <c r="H66" i="3"/>
  <c r="D66" i="4" s="1"/>
  <c r="E65" i="4"/>
  <c r="F7" i="2"/>
  <c r="H7" i="2" s="1"/>
  <c r="D3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H44" i="3"/>
  <c r="D44" i="4" s="1"/>
  <c r="I44" i="3"/>
  <c r="E44" i="4" s="1"/>
  <c r="H43" i="3"/>
  <c r="I43" i="3"/>
  <c r="E43" i="4" s="1"/>
  <c r="I41" i="3"/>
  <c r="E42" i="4"/>
  <c r="E40" i="4"/>
  <c r="F6" i="2"/>
  <c r="H6" i="2" s="1"/>
  <c r="B10" i="8"/>
  <c r="B12" i="8"/>
  <c r="B14" i="8"/>
  <c r="B15" i="8"/>
  <c r="B17" i="8"/>
  <c r="B18" i="8"/>
  <c r="D3" i="8"/>
  <c r="B7" i="8"/>
  <c r="B8" i="8"/>
  <c r="B9" i="8"/>
  <c r="B11" i="8"/>
  <c r="B13" i="8"/>
  <c r="B16" i="8"/>
  <c r="B19" i="8"/>
  <c r="B20" i="8"/>
  <c r="E21" i="4"/>
  <c r="D21" i="4"/>
  <c r="H22" i="3"/>
  <c r="I22" i="3"/>
  <c r="H23" i="3"/>
  <c r="D23" i="4" s="1"/>
  <c r="I23" i="3"/>
  <c r="E23" i="4" s="1"/>
  <c r="D3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F5" i="2"/>
  <c r="H5" i="2" s="1"/>
  <c r="E19" i="4"/>
  <c r="E8" i="4"/>
  <c r="D8" i="4"/>
  <c r="I10" i="3"/>
  <c r="E10" i="4" s="1"/>
  <c r="H10" i="3"/>
  <c r="D10" i="4" s="1"/>
  <c r="H9" i="3"/>
  <c r="I9" i="3"/>
  <c r="D3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E6" i="4"/>
  <c r="F4" i="2"/>
  <c r="H4" i="2" s="1"/>
  <c r="G64" i="3"/>
  <c r="F61" i="3"/>
  <c r="G61" i="3" s="1"/>
  <c r="F36" i="3"/>
  <c r="G36" i="3" s="1"/>
  <c r="G39" i="3"/>
  <c r="G23" i="3"/>
  <c r="M34" i="3"/>
  <c r="F20" i="3"/>
  <c r="G85" i="3"/>
  <c r="F82" i="3"/>
  <c r="G82" i="3" s="1"/>
  <c r="G81" i="3"/>
  <c r="F78" i="3"/>
  <c r="G78" i="3" s="1"/>
  <c r="G18" i="3"/>
  <c r="F15" i="3"/>
  <c r="G15" i="3" s="1"/>
  <c r="G103" i="3"/>
  <c r="F100" i="3"/>
  <c r="F57" i="3"/>
  <c r="G57" i="3" s="1"/>
  <c r="G60" i="3"/>
  <c r="G52" i="3"/>
  <c r="F49" i="3"/>
  <c r="G49" i="3" s="1"/>
  <c r="G31" i="3"/>
  <c r="F28" i="3"/>
  <c r="G28" i="3" s="1"/>
  <c r="G35" i="3"/>
  <c r="F32" i="3"/>
  <c r="G32" i="3" s="1"/>
  <c r="F24" i="3"/>
  <c r="G24" i="3" s="1"/>
  <c r="G27" i="3"/>
  <c r="G111" i="3"/>
  <c r="F108" i="3"/>
  <c r="G108" i="3" s="1"/>
  <c r="G119" i="3"/>
  <c r="F116" i="3"/>
  <c r="G116" i="3" s="1"/>
  <c r="G48" i="3"/>
  <c r="F45" i="3"/>
  <c r="G45" i="3" s="1"/>
  <c r="G73" i="3"/>
  <c r="F70" i="3"/>
  <c r="G70" i="3" s="1"/>
  <c r="M71" i="3"/>
  <c r="F66" i="3"/>
  <c r="G69" i="3"/>
  <c r="G107" i="3"/>
  <c r="F104" i="3"/>
  <c r="G104" i="3" s="1"/>
  <c r="G14" i="3"/>
  <c r="F11" i="3"/>
  <c r="G11" i="3" s="1"/>
  <c r="F7" i="3"/>
  <c r="G10" i="3"/>
  <c r="G115" i="3"/>
  <c r="F112" i="3"/>
  <c r="G112" i="3" s="1"/>
  <c r="G56" i="3"/>
  <c r="F53" i="3"/>
  <c r="G53" i="3" s="1"/>
  <c r="M93" i="3"/>
  <c r="G90" i="3"/>
  <c r="F87" i="3"/>
  <c r="G98" i="3"/>
  <c r="F95" i="3"/>
  <c r="G95" i="3" s="1"/>
  <c r="G77" i="3"/>
  <c r="F74" i="3"/>
  <c r="G74" i="3" s="1"/>
  <c r="F91" i="3"/>
  <c r="G91" i="3" s="1"/>
  <c r="G94" i="3"/>
  <c r="M29" i="3"/>
  <c r="M31" i="3"/>
  <c r="M26" i="3"/>
  <c r="M39" i="3"/>
  <c r="M37" i="3"/>
  <c r="M25" i="3"/>
  <c r="M35" i="3"/>
  <c r="M38" i="3"/>
  <c r="M30" i="3"/>
  <c r="M33" i="3"/>
  <c r="M27" i="3"/>
  <c r="I103" i="3"/>
  <c r="E103" i="4" s="1"/>
  <c r="M118" i="3"/>
  <c r="M111" i="3"/>
  <c r="M106" i="3"/>
  <c r="M119" i="3"/>
  <c r="M117" i="3"/>
  <c r="M105" i="3"/>
  <c r="M113" i="3"/>
  <c r="M107" i="3"/>
  <c r="M115" i="3"/>
  <c r="M109" i="3"/>
  <c r="M84" i="3"/>
  <c r="M75" i="3"/>
  <c r="M79" i="3"/>
  <c r="M77" i="3"/>
  <c r="M85" i="3"/>
  <c r="M81" i="3"/>
  <c r="M83" i="3"/>
  <c r="M73" i="3"/>
  <c r="M72" i="3"/>
  <c r="M76" i="3"/>
  <c r="I69" i="3"/>
  <c r="M80" i="3"/>
  <c r="M17" i="3"/>
  <c r="M16" i="3"/>
  <c r="M12" i="3"/>
  <c r="M14" i="3"/>
  <c r="M18" i="3"/>
  <c r="M13" i="3"/>
  <c r="G44" i="3"/>
  <c r="M62" i="3"/>
  <c r="M56" i="3"/>
  <c r="M54" i="3"/>
  <c r="M63" i="3"/>
  <c r="M59" i="3"/>
  <c r="M58" i="3"/>
  <c r="M64" i="3"/>
  <c r="M60" i="3"/>
  <c r="M55" i="3"/>
  <c r="M51" i="3"/>
  <c r="M50" i="3"/>
  <c r="M48" i="3"/>
  <c r="M47" i="3"/>
  <c r="M52" i="3"/>
  <c r="F41" i="3"/>
  <c r="M46" i="3"/>
  <c r="M94" i="3"/>
  <c r="M97" i="3"/>
  <c r="M92" i="3"/>
  <c r="M98" i="3"/>
  <c r="M96" i="3"/>
  <c r="I90" i="3"/>
  <c r="E100" i="4" l="1"/>
  <c r="K27" i="11"/>
  <c r="L27" i="11" s="1"/>
  <c r="H41" i="3"/>
  <c r="D41" i="4" s="1"/>
  <c r="D43" i="4"/>
  <c r="E41" i="4"/>
  <c r="K27" i="8"/>
  <c r="L27" i="8" s="1"/>
  <c r="H10" i="2"/>
  <c r="H34" i="3"/>
  <c r="D34" i="4" s="1"/>
  <c r="I34" i="3"/>
  <c r="E34" i="4" s="1"/>
  <c r="G20" i="3"/>
  <c r="F19" i="3"/>
  <c r="G100" i="3"/>
  <c r="F99" i="3"/>
  <c r="I71" i="3"/>
  <c r="H71" i="3"/>
  <c r="G66" i="3"/>
  <c r="F65" i="3"/>
  <c r="G7" i="3"/>
  <c r="F120" i="3"/>
  <c r="G120" i="3" s="1"/>
  <c r="F6" i="3"/>
  <c r="H93" i="3"/>
  <c r="D93" i="4" s="1"/>
  <c r="I93" i="3"/>
  <c r="E93" i="4" s="1"/>
  <c r="G87" i="3"/>
  <c r="F86" i="3"/>
  <c r="I29" i="3"/>
  <c r="H29" i="3"/>
  <c r="I31" i="3"/>
  <c r="E31" i="4" s="1"/>
  <c r="H31" i="3"/>
  <c r="D31" i="4" s="1"/>
  <c r="I26" i="3"/>
  <c r="E26" i="4" s="1"/>
  <c r="H26" i="3"/>
  <c r="D26" i="4" s="1"/>
  <c r="H39" i="3"/>
  <c r="D39" i="4" s="1"/>
  <c r="I39" i="3"/>
  <c r="E39" i="4" s="1"/>
  <c r="I37" i="3"/>
  <c r="H37" i="3"/>
  <c r="I25" i="3"/>
  <c r="H25" i="3"/>
  <c r="I35" i="3"/>
  <c r="E35" i="4" s="1"/>
  <c r="H35" i="3"/>
  <c r="D35" i="4" s="1"/>
  <c r="I38" i="3"/>
  <c r="E38" i="4" s="1"/>
  <c r="H38" i="3"/>
  <c r="D38" i="4" s="1"/>
  <c r="I30" i="3"/>
  <c r="E30" i="4" s="1"/>
  <c r="H30" i="3"/>
  <c r="D30" i="4" s="1"/>
  <c r="H33" i="3"/>
  <c r="I33" i="3"/>
  <c r="I27" i="3"/>
  <c r="E27" i="4" s="1"/>
  <c r="H27" i="3"/>
  <c r="D27" i="4" s="1"/>
  <c r="I118" i="3"/>
  <c r="E118" i="4" s="1"/>
  <c r="H118" i="3"/>
  <c r="D118" i="4" s="1"/>
  <c r="I111" i="3"/>
  <c r="E111" i="4" s="1"/>
  <c r="H111" i="3"/>
  <c r="D111" i="4" s="1"/>
  <c r="I106" i="3"/>
  <c r="E106" i="4" s="1"/>
  <c r="H106" i="3"/>
  <c r="D106" i="4" s="1"/>
  <c r="I119" i="3"/>
  <c r="E119" i="4" s="1"/>
  <c r="H119" i="3"/>
  <c r="D119" i="4" s="1"/>
  <c r="I117" i="3"/>
  <c r="H117" i="3"/>
  <c r="H105" i="3"/>
  <c r="I105" i="3"/>
  <c r="I113" i="3"/>
  <c r="H113" i="3"/>
  <c r="I107" i="3"/>
  <c r="E107" i="4" s="1"/>
  <c r="H107" i="3"/>
  <c r="D107" i="4" s="1"/>
  <c r="I115" i="3"/>
  <c r="E115" i="4" s="1"/>
  <c r="H115" i="3"/>
  <c r="D115" i="4" s="1"/>
  <c r="I109" i="3"/>
  <c r="H109" i="3"/>
  <c r="H84" i="3"/>
  <c r="D84" i="4" s="1"/>
  <c r="I84" i="3"/>
  <c r="E84" i="4" s="1"/>
  <c r="H75" i="3"/>
  <c r="I75" i="3"/>
  <c r="I79" i="3"/>
  <c r="H79" i="3"/>
  <c r="I77" i="3"/>
  <c r="E77" i="4" s="1"/>
  <c r="H77" i="3"/>
  <c r="D77" i="4" s="1"/>
  <c r="I85" i="3"/>
  <c r="E85" i="4" s="1"/>
  <c r="H85" i="3"/>
  <c r="D85" i="4" s="1"/>
  <c r="I81" i="3"/>
  <c r="E81" i="4" s="1"/>
  <c r="H81" i="3"/>
  <c r="D81" i="4" s="1"/>
  <c r="I83" i="3"/>
  <c r="H83" i="3"/>
  <c r="I73" i="3"/>
  <c r="E73" i="4" s="1"/>
  <c r="H73" i="3"/>
  <c r="D73" i="4" s="1"/>
  <c r="I72" i="3"/>
  <c r="E72" i="4" s="1"/>
  <c r="H72" i="3"/>
  <c r="D72" i="4" s="1"/>
  <c r="I76" i="3"/>
  <c r="E76" i="4" s="1"/>
  <c r="H76" i="3"/>
  <c r="D76" i="4" s="1"/>
  <c r="I80" i="3"/>
  <c r="E80" i="4" s="1"/>
  <c r="H80" i="3"/>
  <c r="D80" i="4" s="1"/>
  <c r="H17" i="3"/>
  <c r="D17" i="4" s="1"/>
  <c r="I17" i="3"/>
  <c r="E17" i="4" s="1"/>
  <c r="I16" i="3"/>
  <c r="H16" i="3"/>
  <c r="H12" i="3"/>
  <c r="I12" i="3"/>
  <c r="I14" i="3"/>
  <c r="E14" i="4" s="1"/>
  <c r="H14" i="3"/>
  <c r="D14" i="4" s="1"/>
  <c r="I18" i="3"/>
  <c r="E18" i="4" s="1"/>
  <c r="H18" i="3"/>
  <c r="D18" i="4" s="1"/>
  <c r="H13" i="3"/>
  <c r="D13" i="4" s="1"/>
  <c r="I13" i="3"/>
  <c r="E13" i="4" s="1"/>
  <c r="H62" i="3"/>
  <c r="I62" i="3"/>
  <c r="I56" i="3"/>
  <c r="E56" i="4" s="1"/>
  <c r="H56" i="3"/>
  <c r="D56" i="4" s="1"/>
  <c r="I54" i="3"/>
  <c r="H54" i="3"/>
  <c r="I63" i="3"/>
  <c r="E63" i="4" s="1"/>
  <c r="H63" i="3"/>
  <c r="D63" i="4" s="1"/>
  <c r="I59" i="3"/>
  <c r="E59" i="4" s="1"/>
  <c r="H59" i="3"/>
  <c r="D59" i="4" s="1"/>
  <c r="I58" i="3"/>
  <c r="H58" i="3"/>
  <c r="H64" i="3"/>
  <c r="D64" i="4" s="1"/>
  <c r="I64" i="3"/>
  <c r="E64" i="4" s="1"/>
  <c r="H60" i="3"/>
  <c r="D60" i="4" s="1"/>
  <c r="I60" i="3"/>
  <c r="E60" i="4" s="1"/>
  <c r="I55" i="3"/>
  <c r="E55" i="4" s="1"/>
  <c r="H55" i="3"/>
  <c r="D55" i="4" s="1"/>
  <c r="I51" i="3"/>
  <c r="E51" i="4" s="1"/>
  <c r="H51" i="3"/>
  <c r="D51" i="4" s="1"/>
  <c r="I50" i="3"/>
  <c r="H50" i="3"/>
  <c r="I48" i="3"/>
  <c r="E48" i="4" s="1"/>
  <c r="H48" i="3"/>
  <c r="D48" i="4" s="1"/>
  <c r="I47" i="3"/>
  <c r="E47" i="4" s="1"/>
  <c r="H47" i="3"/>
  <c r="D47" i="4" s="1"/>
  <c r="I52" i="3"/>
  <c r="E52" i="4" s="1"/>
  <c r="H52" i="3"/>
  <c r="D52" i="4" s="1"/>
  <c r="F40" i="3"/>
  <c r="G41" i="3"/>
  <c r="I46" i="3"/>
  <c r="H46" i="3"/>
  <c r="I94" i="3"/>
  <c r="E94" i="4" s="1"/>
  <c r="H94" i="3"/>
  <c r="D94" i="4" s="1"/>
  <c r="H97" i="3"/>
  <c r="D97" i="4" s="1"/>
  <c r="I97" i="3"/>
  <c r="E97" i="4" s="1"/>
  <c r="I92" i="3"/>
  <c r="H92" i="3"/>
  <c r="I98" i="3"/>
  <c r="E98" i="4" s="1"/>
  <c r="H98" i="3"/>
  <c r="D98" i="4" s="1"/>
  <c r="I96" i="3"/>
  <c r="H96" i="3"/>
  <c r="D22" i="4"/>
  <c r="H20" i="3"/>
  <c r="D20" i="4" s="1"/>
  <c r="E22" i="4"/>
  <c r="I20" i="3"/>
  <c r="D9" i="4"/>
  <c r="H7" i="3"/>
  <c r="D7" i="4" s="1"/>
  <c r="E9" i="4"/>
  <c r="I7" i="3"/>
  <c r="E69" i="4"/>
  <c r="I66" i="3"/>
  <c r="E90" i="4"/>
  <c r="I87" i="3"/>
  <c r="G19" i="3" l="1"/>
  <c r="B3" i="7"/>
  <c r="F3" i="7" s="1"/>
  <c r="D5" i="2"/>
  <c r="I5" i="2" s="1"/>
  <c r="B3" i="11"/>
  <c r="F3" i="11" s="1"/>
  <c r="G99" i="3"/>
  <c r="D9" i="2"/>
  <c r="I9" i="2" s="1"/>
  <c r="I70" i="3"/>
  <c r="G7" i="2" s="1"/>
  <c r="E71" i="4"/>
  <c r="D71" i="4"/>
  <c r="H70" i="3"/>
  <c r="D70" i="4" s="1"/>
  <c r="G65" i="3"/>
  <c r="D7" i="2"/>
  <c r="I7" i="2" s="1"/>
  <c r="B3" i="9"/>
  <c r="F3" i="9" s="1"/>
  <c r="B3" i="6"/>
  <c r="F3" i="6" s="1"/>
  <c r="G6" i="3"/>
  <c r="D4" i="2"/>
  <c r="G86" i="3"/>
  <c r="B3" i="10"/>
  <c r="F3" i="10" s="1"/>
  <c r="D8" i="2"/>
  <c r="I8" i="2" s="1"/>
  <c r="E29" i="4"/>
  <c r="I28" i="3"/>
  <c r="H28" i="3"/>
  <c r="D28" i="4" s="1"/>
  <c r="D29" i="4"/>
  <c r="E37" i="4"/>
  <c r="I36" i="3"/>
  <c r="H36" i="3"/>
  <c r="D36" i="4" s="1"/>
  <c r="D37" i="4"/>
  <c r="E25" i="4"/>
  <c r="I24" i="3"/>
  <c r="G5" i="2" s="1"/>
  <c r="D25" i="4"/>
  <c r="H24" i="3"/>
  <c r="D24" i="4" s="1"/>
  <c r="D33" i="4"/>
  <c r="H32" i="3"/>
  <c r="D32" i="4" s="1"/>
  <c r="E33" i="4"/>
  <c r="I32" i="3"/>
  <c r="E117" i="4"/>
  <c r="I116" i="3"/>
  <c r="D117" i="4"/>
  <c r="H116" i="3"/>
  <c r="D116" i="4" s="1"/>
  <c r="D105" i="4"/>
  <c r="H104" i="3"/>
  <c r="D104" i="4" s="1"/>
  <c r="E105" i="4"/>
  <c r="I104" i="3"/>
  <c r="E113" i="4"/>
  <c r="I112" i="3"/>
  <c r="D113" i="4"/>
  <c r="H112" i="3"/>
  <c r="D112" i="4" s="1"/>
  <c r="E109" i="4"/>
  <c r="I108" i="3"/>
  <c r="D109" i="4"/>
  <c r="H108" i="3"/>
  <c r="D108" i="4" s="1"/>
  <c r="D75" i="4"/>
  <c r="H74" i="3"/>
  <c r="D74" i="4" s="1"/>
  <c r="E75" i="4"/>
  <c r="I74" i="3"/>
  <c r="E79" i="4"/>
  <c r="I78" i="3"/>
  <c r="D79" i="4"/>
  <c r="H78" i="3"/>
  <c r="D78" i="4" s="1"/>
  <c r="E83" i="4"/>
  <c r="I82" i="3"/>
  <c r="D83" i="4"/>
  <c r="H82" i="3"/>
  <c r="D82" i="4" s="1"/>
  <c r="E16" i="4"/>
  <c r="I15" i="3"/>
  <c r="D16" i="4"/>
  <c r="H15" i="3"/>
  <c r="D15" i="4" s="1"/>
  <c r="D12" i="4"/>
  <c r="H11" i="3"/>
  <c r="D11" i="4" s="1"/>
  <c r="E12" i="4"/>
  <c r="I11" i="3"/>
  <c r="D62" i="4"/>
  <c r="H61" i="3"/>
  <c r="D61" i="4" s="1"/>
  <c r="E62" i="4"/>
  <c r="I61" i="3"/>
  <c r="E54" i="4"/>
  <c r="I53" i="3"/>
  <c r="D54" i="4"/>
  <c r="H53" i="3"/>
  <c r="D53" i="4" s="1"/>
  <c r="I57" i="3"/>
  <c r="E58" i="4"/>
  <c r="D58" i="4"/>
  <c r="H57" i="3"/>
  <c r="D57" i="4" s="1"/>
  <c r="E50" i="4"/>
  <c r="I49" i="3"/>
  <c r="D50" i="4"/>
  <c r="H49" i="3"/>
  <c r="D49" i="4" s="1"/>
  <c r="G40" i="3"/>
  <c r="D6" i="2"/>
  <c r="I6" i="2" s="1"/>
  <c r="B3" i="8"/>
  <c r="F3" i="8" s="1"/>
  <c r="E46" i="4"/>
  <c r="I45" i="3"/>
  <c r="D46" i="4"/>
  <c r="H45" i="3"/>
  <c r="D45" i="4" s="1"/>
  <c r="I91" i="3"/>
  <c r="E92" i="4"/>
  <c r="H91" i="3"/>
  <c r="D91" i="4" s="1"/>
  <c r="D92" i="4"/>
  <c r="I95" i="3"/>
  <c r="E96" i="4"/>
  <c r="D96" i="4"/>
  <c r="H95" i="3"/>
  <c r="D95" i="4" s="1"/>
  <c r="K27" i="7"/>
  <c r="L27" i="7" s="1"/>
  <c r="E20" i="4"/>
  <c r="E7" i="4"/>
  <c r="G4" i="2"/>
  <c r="K27" i="6"/>
  <c r="L27" i="6" s="1"/>
  <c r="K27" i="9"/>
  <c r="L27" i="9" s="1"/>
  <c r="E66" i="4"/>
  <c r="G8" i="2"/>
  <c r="K27" i="10"/>
  <c r="L27" i="10" s="1"/>
  <c r="E87" i="4"/>
  <c r="E70" i="4" l="1"/>
  <c r="K28" i="9"/>
  <c r="L28" i="9" s="1"/>
  <c r="I4" i="2"/>
  <c r="I10" i="2" s="1"/>
  <c r="D10" i="2"/>
  <c r="K29" i="7"/>
  <c r="L29" i="7" s="1"/>
  <c r="E28" i="4"/>
  <c r="E36" i="4"/>
  <c r="K31" i="7"/>
  <c r="L31" i="7" s="1"/>
  <c r="E24" i="4"/>
  <c r="K28" i="7"/>
  <c r="L28" i="7" s="1"/>
  <c r="E32" i="4"/>
  <c r="K30" i="7"/>
  <c r="L30" i="7" s="1"/>
  <c r="E116" i="4"/>
  <c r="K31" i="11"/>
  <c r="L31" i="11" s="1"/>
  <c r="G9" i="2"/>
  <c r="E104" i="4"/>
  <c r="K28" i="11"/>
  <c r="L28" i="11" s="1"/>
  <c r="E112" i="4"/>
  <c r="K30" i="11"/>
  <c r="L30" i="11" s="1"/>
  <c r="E108" i="4"/>
  <c r="K29" i="11"/>
  <c r="L29" i="11" s="1"/>
  <c r="E74" i="4"/>
  <c r="K29" i="9"/>
  <c r="L29" i="9" s="1"/>
  <c r="E78" i="4"/>
  <c r="K30" i="9"/>
  <c r="L30" i="9" s="1"/>
  <c r="E82" i="4"/>
  <c r="K31" i="9"/>
  <c r="L31" i="9" s="1"/>
  <c r="E15" i="4"/>
  <c r="K29" i="6"/>
  <c r="L29" i="6" s="1"/>
  <c r="K28" i="6"/>
  <c r="L28" i="6" s="1"/>
  <c r="E11" i="4"/>
  <c r="E61" i="4"/>
  <c r="K32" i="8"/>
  <c r="L32" i="8" s="1"/>
  <c r="E53" i="4"/>
  <c r="K30" i="8"/>
  <c r="L30" i="8" s="1"/>
  <c r="E57" i="4"/>
  <c r="K31" i="8"/>
  <c r="L31" i="8" s="1"/>
  <c r="E49" i="4"/>
  <c r="K29" i="8"/>
  <c r="L29" i="8" s="1"/>
  <c r="G6" i="2"/>
  <c r="E45" i="4"/>
  <c r="K28" i="8"/>
  <c r="L28" i="8" s="1"/>
  <c r="E91" i="4"/>
  <c r="K28" i="10"/>
  <c r="L28" i="10" s="1"/>
  <c r="E95" i="4"/>
  <c r="K29" i="10"/>
  <c r="L29" i="10" s="1"/>
  <c r="D14" i="7"/>
  <c r="D20" i="7"/>
  <c r="D19" i="7"/>
  <c r="D18" i="7"/>
  <c r="D17" i="7"/>
  <c r="D16" i="7"/>
  <c r="D15" i="7"/>
  <c r="D13" i="7"/>
  <c r="D12" i="7"/>
  <c r="D11" i="7"/>
  <c r="D10" i="7"/>
  <c r="D9" i="7"/>
  <c r="D8" i="7"/>
  <c r="D7" i="7"/>
  <c r="D6" i="7"/>
  <c r="D19" i="6"/>
  <c r="D13" i="6"/>
  <c r="D9" i="6"/>
  <c r="D15" i="6"/>
  <c r="D11" i="6"/>
  <c r="D16" i="6"/>
  <c r="D12" i="6"/>
  <c r="D6" i="6"/>
  <c r="D17" i="6"/>
  <c r="D10" i="6"/>
  <c r="D18" i="6"/>
  <c r="D14" i="6"/>
  <c r="D7" i="6"/>
  <c r="D20" i="6"/>
  <c r="D8" i="6"/>
  <c r="D20" i="9"/>
  <c r="D19" i="9"/>
  <c r="D18" i="9"/>
  <c r="D17" i="9"/>
  <c r="D16" i="9"/>
  <c r="D15" i="9"/>
  <c r="D14" i="9"/>
  <c r="D13" i="9"/>
  <c r="D12" i="9"/>
  <c r="D11" i="9"/>
  <c r="D10" i="9"/>
  <c r="D9" i="9"/>
  <c r="D6" i="9"/>
  <c r="D8" i="9"/>
  <c r="D7" i="9"/>
  <c r="D19" i="10"/>
  <c r="D18" i="10"/>
  <c r="D17" i="10"/>
  <c r="D16" i="10"/>
  <c r="D15" i="10"/>
  <c r="D14" i="10"/>
  <c r="D13" i="10"/>
  <c r="D12" i="10"/>
  <c r="D11" i="10"/>
  <c r="D10" i="10"/>
  <c r="D20" i="10"/>
  <c r="D9" i="10"/>
  <c r="D8" i="10"/>
  <c r="D7" i="10"/>
  <c r="D6" i="10"/>
  <c r="D12" i="11" l="1"/>
  <c r="D20" i="11"/>
  <c r="D10" i="11"/>
  <c r="D19" i="11"/>
  <c r="D6" i="11"/>
  <c r="D9" i="11"/>
  <c r="D8" i="11"/>
  <c r="D7" i="11"/>
  <c r="D16" i="11"/>
  <c r="D13" i="11"/>
  <c r="D18" i="11"/>
  <c r="D17" i="11"/>
  <c r="D14" i="11"/>
  <c r="D11" i="11"/>
  <c r="D15" i="11"/>
  <c r="D19" i="8"/>
  <c r="D16" i="8"/>
  <c r="D13" i="8"/>
  <c r="D17" i="8"/>
  <c r="D8" i="8"/>
  <c r="D10" i="8"/>
  <c r="D12" i="8"/>
  <c r="D14" i="8"/>
  <c r="D15" i="8"/>
  <c r="D18" i="8"/>
  <c r="D7" i="8"/>
  <c r="D9" i="8"/>
  <c r="D11" i="8"/>
  <c r="D20" i="8"/>
  <c r="D6" i="8"/>
</calcChain>
</file>

<file path=xl/sharedStrings.xml><?xml version="1.0" encoding="utf-8"?>
<sst xmlns="http://schemas.openxmlformats.org/spreadsheetml/2006/main" count="585" uniqueCount="337">
  <si>
    <t>Đề tài: Hệ thống quản lý giao hàng (ASP.NET Core 8, MySQL)  |  Thành viên: Trần Phương Hạo  |  27 story, 106 điểm, 6 sprint x 14 ngày</t>
  </si>
  <si>
    <t>Các sheet trong file</t>
  </si>
  <si>
    <t>- Tong hop: số story, điểm, giờ, thời gian và năng lực của từng sprint.</t>
  </si>
  <si>
    <t>- WBS: cấu trúc 3 cấp (Sprint &gt; Story PB01-PB27 &gt; 3 task con: Phân tích và thiết kế, Lập trình, Kiểm thử), có điểm, giờ công, Start/Finish, người phụ trách, ưu tiên và tiêu chí chấp nhận.</t>
  </si>
  <si>
    <t>- Gantt: biểu đồ Gantt của toàn bộ WBS theo ngày (12 tuần).</t>
  </si>
  <si>
    <t>- Resources: danh sách thành viên.</t>
  </si>
  <si>
    <t>- Sprint 1 ... Sprint 6: burndown chart của từng sprint (đường Lý tưởng, Kế hoạch theo WBS, Thực tế).</t>
  </si>
  <si>
    <t>Cách cập nhật burndown thực tế</t>
  </si>
  <si>
    <t>Mỗi ngày của sprint, điền số điểm còn lại vào cột 'Thực tế' (ô vàng) trong sheet Sprint tương ứng; biểu đồ tự cập nhật.</t>
  </si>
  <si>
    <t>Giả định (chỉnh ở đầu sheet WBS)</t>
  </si>
  <si>
    <t>- Ngày bắt đầu 26/10/2026; mỗi sprint 14 ngày theo đề bài; 8 giờ/ngày; làm việc T2-T6.</t>
  </si>
  <si>
    <t>- 4 giờ cho mỗi điểm; chia 20% thiết kế, 60% lập trình, 20% kiểm thử. Các con số này là ước lượng, không có trong backlog.</t>
  </si>
  <si>
    <t>- Kế hoạch sắp xếp task tuần tự vì nhóm chỉ có một thành viên.</t>
  </si>
  <si>
    <t>- File kế hoạch cùng nội dung ở dạng MS Project XML (GiaoHang_KeHoach_DuAn.xml) đã mở được bằng ProjectLibre.</t>
  </si>
  <si>
    <t>TỔNG HỢP KẾ HOẠCH 6 SPRINT</t>
  </si>
  <si>
    <t>Sprint</t>
  </si>
  <si>
    <t>Số story</t>
  </si>
  <si>
    <t>Điểm</t>
  </si>
  <si>
    <t>Giờ KH</t>
  </si>
  <si>
    <t>Bắt đầu</t>
  </si>
  <si>
    <t>Kết thúc (timebox)</t>
  </si>
  <si>
    <t>Xong theo KH</t>
  </si>
  <si>
    <t>Năng lực (giờ)</t>
  </si>
  <si>
    <t>Dư/thiếu (giờ)</t>
  </si>
  <si>
    <t>Sprint 1</t>
  </si>
  <si>
    <t>Sprint 2</t>
  </si>
  <si>
    <t>Sprint 3</t>
  </si>
  <si>
    <t>Sprint 4</t>
  </si>
  <si>
    <t>Sprint 5</t>
  </si>
  <si>
    <t>Sprint 6</t>
  </si>
  <si>
    <t>Tổng</t>
  </si>
  <si>
    <t>WBS - HỆ THỐNG QUẢN LÝ GIAO HÀNG</t>
  </si>
  <si>
    <t>Ngày bắt đầu:</t>
  </si>
  <si>
    <t>Độ dài Sprint (ngày):</t>
  </si>
  <si>
    <t>Giờ/ngày:</t>
  </si>
  <si>
    <t>Giờ/điểm:</t>
  </si>
  <si>
    <t>% Thiết kế:</t>
  </si>
  <si>
    <t>% Lập trình:</t>
  </si>
  <si>
    <t>% Kiểm thử:</t>
  </si>
  <si>
    <t>WBS</t>
  </si>
  <si>
    <t>Level</t>
  </si>
  <si>
    <t>Task Name</t>
  </si>
  <si>
    <t>Work (giờ)</t>
  </si>
  <si>
    <t>Duration (ngày)</t>
  </si>
  <si>
    <t>Start</t>
  </si>
  <si>
    <t>Finish</t>
  </si>
  <si>
    <t>Resource Names</t>
  </si>
  <si>
    <t>Ưu tiên</t>
  </si>
  <si>
    <t>Tiêu chí / ghi chú (từ Sprint backlog)</t>
  </si>
  <si>
    <t>Giờ lũy kế trước task (trong sprint)</t>
  </si>
  <si>
    <t>1</t>
  </si>
  <si>
    <t>Trần Phương Hạo</t>
  </si>
  <si>
    <t>1.1</t>
  </si>
  <si>
    <t>PB01 - Khởi tạo dự án .NET 8 + MySQL</t>
  </si>
  <si>
    <t>Must</t>
  </si>
  <si>
    <t>dotnet run chạy được; migration tạo CSDL MySQL (Pomelo); có README hướng dẫn chạy</t>
  </si>
  <si>
    <t>1.1.1</t>
  </si>
  <si>
    <t>Phân tích và thiết kế PB01</t>
  </si>
  <si>
    <t>1.1.2</t>
  </si>
  <si>
    <t>Lập trình PB01</t>
  </si>
  <si>
    <t>1.1.3</t>
  </si>
  <si>
    <t>Kiểm thử PB01</t>
  </si>
  <si>
    <t>1.2</t>
  </si>
  <si>
    <t>PB02 - Đăng nhập và phân quyền theo vai trò</t>
  </si>
  <si>
    <t>ASP.NET Core Identity; seed 4 vai trò + tài khoản mẫu; vào trang không đủ quyền bị chặn</t>
  </si>
  <si>
    <t>1.2.1</t>
  </si>
  <si>
    <t>Phân tích và thiết kế PB02</t>
  </si>
  <si>
    <t>1.2.2</t>
  </si>
  <si>
    <t>Lập trình PB02</t>
  </si>
  <si>
    <t>1.2.3</t>
  </si>
  <si>
    <t>Kiểm thử PB02</t>
  </si>
  <si>
    <t>1.3</t>
  </si>
  <si>
    <t>PB03 - Quản lý tài khoản nhân viên</t>
  </si>
  <si>
    <t>Admin thêm/sửa/khóa tài khoản; không cho tự khóa chính mình</t>
  </si>
  <si>
    <t>1.3.1</t>
  </si>
  <si>
    <t>Phân tích và thiết kế PB03</t>
  </si>
  <si>
    <t>1.3.2</t>
  </si>
  <si>
    <t>Lập trình PB03</t>
  </si>
  <si>
    <t>1.3.3</t>
  </si>
  <si>
    <t>Kiểm thử PB03</t>
  </si>
  <si>
    <t>2</t>
  </si>
  <si>
    <t>2.1</t>
  </si>
  <si>
    <t>PB04 - Nhận mã đơn hàng từ website bán hàng (API)</t>
  </si>
  <si>
    <t>POST /api/orders + API key; mã trùng/sai trả lỗi; đơn mới ở trạng thái Chưa nhận; test bằng Postman</t>
  </si>
  <si>
    <t>2.1.1</t>
  </si>
  <si>
    <t>Phân tích và thiết kế PB04</t>
  </si>
  <si>
    <t>2.1.2</t>
  </si>
  <si>
    <t>Lập trình PB04</t>
  </si>
  <si>
    <t>2.1.3</t>
  </si>
  <si>
    <t>Kiểm thử PB04</t>
  </si>
  <si>
    <t>2.2</t>
  </si>
  <si>
    <t>PB05 - Gửi yêu cầu giao hàng đến nhận hàng từ công ty</t>
  </si>
  <si>
    <t>Danh sách đơn Chưa nhận; chọn nhân viên đi lấy; lưu thời điểm và người gửi yêu cầu</t>
  </si>
  <si>
    <t>2.2.1</t>
  </si>
  <si>
    <t>Phân tích và thiết kế PB05</t>
  </si>
  <si>
    <t>2.2.2</t>
  </si>
  <si>
    <t>Lập trình PB05</t>
  </si>
  <si>
    <t>2.2.3</t>
  </si>
  <si>
    <t>Kiểm thử PB05</t>
  </si>
  <si>
    <t>2.3</t>
  </si>
  <si>
    <t>PB06 - Cập nhật trạng thái đơn hàng tuần tự</t>
  </si>
  <si>
    <t>Không nhảy cóc/lùi trạng thái; lưu lịch sử người đổi, thời gian; dùng chung cho các story sau</t>
  </si>
  <si>
    <t>2.3.1</t>
  </si>
  <si>
    <t>Phân tích và thiết kế PB06</t>
  </si>
  <si>
    <t>2.3.2</t>
  </si>
  <si>
    <t>Lập trình PB06</t>
  </si>
  <si>
    <t>2.3.3</t>
  </si>
  <si>
    <t>Kiểm thử PB06</t>
  </si>
  <si>
    <t>2.4</t>
  </si>
  <si>
    <t>PB07 - Quản lý bảng báo giá</t>
  </si>
  <si>
    <t>Thêm/sửa/ẩn dòng giá; khoảng giá không chồng lấn; có ngày áp dụng</t>
  </si>
  <si>
    <t>2.4.1</t>
  </si>
  <si>
    <t>Phân tích và thiết kế PB07</t>
  </si>
  <si>
    <t>2.4.2</t>
  </si>
  <si>
    <t>Lập trình PB07</t>
  </si>
  <si>
    <t>2.4.3</t>
  </si>
  <si>
    <t>Kiểm thử PB07</t>
  </si>
  <si>
    <t>2.5</t>
  </si>
  <si>
    <t>PB08 - Kiểm tra hàng hóa</t>
  </si>
  <si>
    <t>Căn cứ chọn phương tiện và mức giá; validate số &gt; 0; chỉ nhập cho đơn đã có yêu cầu lấy hàng</t>
  </si>
  <si>
    <t>2.5.1</t>
  </si>
  <si>
    <t>Phân tích và thiết kế PB08</t>
  </si>
  <si>
    <t>2.5.2</t>
  </si>
  <si>
    <t>Lập trình PB08</t>
  </si>
  <si>
    <t>2.5.3</t>
  </si>
  <si>
    <t>Kiểm thử PB08</t>
  </si>
  <si>
    <t>3</t>
  </si>
  <si>
    <t>3.1</t>
  </si>
  <si>
    <t>PB09 - Đề xuất, chọn phương tiện giao hàng</t>
  </si>
  <si>
    <t>Should</t>
  </si>
  <si>
    <t>Gợi ý theo trọng lượng, kích thước, khoảng cách; cho đổi thủ công; dùng danh mục PB15</t>
  </si>
  <si>
    <t>3.1.1</t>
  </si>
  <si>
    <t>Phân tích và thiết kế PB09</t>
  </si>
  <si>
    <t>3.1.2</t>
  </si>
  <si>
    <t>Lập trình PB09</t>
  </si>
  <si>
    <t>3.1.3</t>
  </si>
  <si>
    <t>Kiểm thử PB09</t>
  </si>
  <si>
    <t>3.2</t>
  </si>
  <si>
    <t>PB10 - Đưa ra mức giá theo bảng báo giá</t>
  </si>
  <si>
    <t>Tự tính giá từ đặc điểm hàng; hiển thị chi tiết phí; báo lỗi khi không có dòng giá phù hợp</t>
  </si>
  <si>
    <t>3.2.1</t>
  </si>
  <si>
    <t>Phân tích và thiết kế PB10</t>
  </si>
  <si>
    <t>3.2.2</t>
  </si>
  <si>
    <t>Lập trình PB10</t>
  </si>
  <si>
    <t>3.2.3</t>
  </si>
  <si>
    <t>Kiểm thử PB10</t>
  </si>
  <si>
    <t>3.3</t>
  </si>
  <si>
    <t>PB11 - Nhập thông tin gói hàng</t>
  </si>
  <si>
    <t>SĐT đúng định dạng VN (10 số); mã hàng khớp mã đơn; lưu xong chuyển Đã nhận - Chưa giao</t>
  </si>
  <si>
    <t>3.3.1</t>
  </si>
  <si>
    <t>Phân tích và thiết kế PB11</t>
  </si>
  <si>
    <t>3.3.2</t>
  </si>
  <si>
    <t>Lập trình PB11</t>
  </si>
  <si>
    <t>3.3.3</t>
  </si>
  <si>
    <t>Kiểm thử PB11</t>
  </si>
  <si>
    <t>3.4</t>
  </si>
  <si>
    <t>PB12 - Khai báo thông số kèm theo</t>
  </si>
  <si>
    <t>Chọn Thu tiền thì bắt buộc nhập số tiền &gt; 0; hàng dễ vỡ/trị giá ghi nhận riêng</t>
  </si>
  <si>
    <t>3.4.1</t>
  </si>
  <si>
    <t>Phân tích và thiết kế PB12</t>
  </si>
  <si>
    <t>3.4.2</t>
  </si>
  <si>
    <t>Lập trình PB12</t>
  </si>
  <si>
    <t>3.4.3</t>
  </si>
  <si>
    <t>Kiểm thử PB12</t>
  </si>
  <si>
    <t>3.5</t>
  </si>
  <si>
    <t>PB15 - Quản lý danh mục loại hàng, tuyến xe, phương tiện</t>
  </si>
  <si>
    <t>Loại hàng: gói nhỏ, bọc van, bọc, bao, thùng, bao PB, hộp thùng, tivi, laptop, CPU, xe...</t>
  </si>
  <si>
    <t>3.5.1</t>
  </si>
  <si>
    <t>Phân tích và thiết kế PB15</t>
  </si>
  <si>
    <t>3.5.2</t>
  </si>
  <si>
    <t>Lập trình PB15</t>
  </si>
  <si>
    <t>3.5.3</t>
  </si>
  <si>
    <t>Kiểm thử PB15</t>
  </si>
  <si>
    <t>3.6</t>
  </si>
  <si>
    <t>PB16 - Phân loại hàng hóa theo kích cỡ và tuyến xe</t>
  </si>
  <si>
    <t>Gán loại hàng + tuyến xe; gợi ý theo kích thước; danh sách gói theo tuyến xe</t>
  </si>
  <si>
    <t>3.6.1</t>
  </si>
  <si>
    <t>Phân tích và thiết kế PB16</t>
  </si>
  <si>
    <t>3.6.2</t>
  </si>
  <si>
    <t>Lập trình PB16</t>
  </si>
  <si>
    <t>3.6.3</t>
  </si>
  <si>
    <t>Kiểm thử PB16</t>
  </si>
  <si>
    <t>4</t>
  </si>
  <si>
    <t>4.1</t>
  </si>
  <si>
    <t>PB13 - Nhận tiền gửi thường (thu khi giao hàng)</t>
  </si>
  <si>
    <t>Chỉ áp dụng gửi thường; nhập số tiền thực thu, đối chiếu số cần thu</t>
  </si>
  <si>
    <t>4.1.1</t>
  </si>
  <si>
    <t>Phân tích và thiết kế PB13</t>
  </si>
  <si>
    <t>4.1.2</t>
  </si>
  <si>
    <t>Lập trình PB13</t>
  </si>
  <si>
    <t>4.1.3</t>
  </si>
  <si>
    <t>Kiểm thử PB13</t>
  </si>
  <si>
    <t>4.2</t>
  </si>
  <si>
    <t>PB14 - Nhận tiền gửi nhanh (chuyển khoản/trực tuyến)</t>
  </si>
  <si>
    <t>VNPay Sandbox hoặc giả lập; xác thực chữ ký callback; chưa thanh toán không được xuất giao</t>
  </si>
  <si>
    <t>4.2.1</t>
  </si>
  <si>
    <t>Phân tích và thiết kế PB14</t>
  </si>
  <si>
    <t>4.2.2</t>
  </si>
  <si>
    <t>Lập trình PB14</t>
  </si>
  <si>
    <t>4.2.3</t>
  </si>
  <si>
    <t>Kiểm thử PB14</t>
  </si>
  <si>
    <t>4.3</t>
  </si>
  <si>
    <t>PB17 - Phân công nhân viên giao hàng</t>
  </si>
  <si>
    <t>Chọn nhân viên giao hàng; nhân viên thấy đơn được giao trên điện thoại; lưu lịch sử phân công</t>
  </si>
  <si>
    <t>4.3.1</t>
  </si>
  <si>
    <t>Phân tích và thiết kế PB17</t>
  </si>
  <si>
    <t>4.3.2</t>
  </si>
  <si>
    <t>Lập trình PB17</t>
  </si>
  <si>
    <t>4.3.3</t>
  </si>
  <si>
    <t>Kiểm thử PB17</t>
  </si>
  <si>
    <t>4.4</t>
  </si>
  <si>
    <t>PB18 - Giao hàng thường</t>
  </si>
  <si>
    <t>Gom đơn cùng tuyến vào 1 chuyến; khi xuất phát chuyển Đã nhận - Đang giao</t>
  </si>
  <si>
    <t>4.4.1</t>
  </si>
  <si>
    <t>Phân tích và thiết kế PB18</t>
  </si>
  <si>
    <t>4.4.2</t>
  </si>
  <si>
    <t>Lập trình PB18</t>
  </si>
  <si>
    <t>4.4.3</t>
  </si>
  <si>
    <t>Kiểm thử PB18</t>
  </si>
  <si>
    <t>4.5</t>
  </si>
  <si>
    <t>PB23 - Lập phiếu giao hàng</t>
  </si>
  <si>
    <t>Phiếu có mã, địa chỉ, phường/xã, SĐT, tiền thu, cờ dễ vỡ/trị giá; in được</t>
  </si>
  <si>
    <t>4.5.1</t>
  </si>
  <si>
    <t>Phân tích và thiết kế PB23</t>
  </si>
  <si>
    <t>4.5.2</t>
  </si>
  <si>
    <t>Lập trình PB23</t>
  </si>
  <si>
    <t>4.5.3</t>
  </si>
  <si>
    <t>Kiểm thử PB23</t>
  </si>
  <si>
    <t>5</t>
  </si>
  <si>
    <t>5.1</t>
  </si>
  <si>
    <t>PB19 - Giao hàng nhanh</t>
  </si>
  <si>
    <t>Mỗi đơn 1 chuyến riêng; phụ phí nhanh từ bảng giá; phải thanh toán (PB14) trước khi xuất phát</t>
  </si>
  <si>
    <t>5.1.1</t>
  </si>
  <si>
    <t>Phân tích và thiết kế PB19</t>
  </si>
  <si>
    <t>5.1.2</t>
  </si>
  <si>
    <t>Lập trình PB19</t>
  </si>
  <si>
    <t>5.1.3</t>
  </si>
  <si>
    <t>Kiểm thử PB19</t>
  </si>
  <si>
    <t>5.2</t>
  </si>
  <si>
    <t>PB20 - Cài đặt điểm check-in trên bản đồ</t>
  </si>
  <si>
    <t>Leaflet + OpenStreetMap; lưu vĩ độ, kinh độ, bán kính mặc định 100 m; gắn điểm vào tuyến</t>
  </si>
  <si>
    <t>5.2.1</t>
  </si>
  <si>
    <t>Phân tích và thiết kế PB20</t>
  </si>
  <si>
    <t>5.2.2</t>
  </si>
  <si>
    <t>Lập trình PB20</t>
  </si>
  <si>
    <t>5.2.3</t>
  </si>
  <si>
    <t>Kiểm thử PB20</t>
  </si>
  <si>
    <t>5.3</t>
  </si>
  <si>
    <t>PB21 - Tự động check-in khi qua điểm đã cài đặt</t>
  </si>
  <si>
    <t>Geolocation API (HTTPS) + Haversine; 1 lần/điểm/chuyến; hạn chế: phải mở trang, không chạy nền</t>
  </si>
  <si>
    <t>5.3.1</t>
  </si>
  <si>
    <t>Phân tích và thiết kế PB21</t>
  </si>
  <si>
    <t>5.3.2</t>
  </si>
  <si>
    <t>Lập trình PB21</t>
  </si>
  <si>
    <t>5.3.3</t>
  </si>
  <si>
    <t>Kiểm thử PB21</t>
  </si>
  <si>
    <t>6</t>
  </si>
  <si>
    <t>6.1</t>
  </si>
  <si>
    <t>PB22 - Khách hàng theo dõi hành trình đơn hàng</t>
  </si>
  <si>
    <t>Nhập mã đơn + SĐT; timeline check-in + bản đồ; cập nhật bằng SignalR</t>
  </si>
  <si>
    <t>6.1.1</t>
  </si>
  <si>
    <t>Phân tích và thiết kế PB22</t>
  </si>
  <si>
    <t>6.1.2</t>
  </si>
  <si>
    <t>Lập trình PB22</t>
  </si>
  <si>
    <t>6.1.3</t>
  </si>
  <si>
    <t>Kiểm thử PB22</t>
  </si>
  <si>
    <t>6.2</t>
  </si>
  <si>
    <t>PB24 - Giao tận nơi, xác nhận đã giao theo phiếu</t>
  </si>
  <si>
    <t>Bấm Đã giao (ghi thời gian, vị trí); có thu tiền thì hoàn tất PB13 trước; đơn chuyển Đã giao</t>
  </si>
  <si>
    <t>6.2.1</t>
  </si>
  <si>
    <t>Phân tích và thiết kế PB24</t>
  </si>
  <si>
    <t>6.2.2</t>
  </si>
  <si>
    <t>Lập trình PB24</t>
  </si>
  <si>
    <t>6.2.3</t>
  </si>
  <si>
    <t>Kiểm thử PB24</t>
  </si>
  <si>
    <t>6.3</t>
  </si>
  <si>
    <t>PB25 - Báo giao thất bại và hoàn hàng</t>
  </si>
  <si>
    <t>Could</t>
  </si>
  <si>
    <t>Ngoài 4 trạng thái của đề, cần hỏi giảng viên trước khi làm</t>
  </si>
  <si>
    <t>6.3.1</t>
  </si>
  <si>
    <t>Phân tích và thiết kế PB25</t>
  </si>
  <si>
    <t>6.3.2</t>
  </si>
  <si>
    <t>Lập trình PB25</t>
  </si>
  <si>
    <t>6.3.3</t>
  </si>
  <si>
    <t>Kiểm thử PB25</t>
  </si>
  <si>
    <t>6.4</t>
  </si>
  <si>
    <t>PB26 - Tra cứu đơn hàng</t>
  </si>
  <si>
    <t>Lọc kết hợp nhiều tiêu chí; phân trang; xem lịch sử trạng thái</t>
  </si>
  <si>
    <t>6.4.1</t>
  </si>
  <si>
    <t>Phân tích và thiết kế PB26</t>
  </si>
  <si>
    <t>6.4.2</t>
  </si>
  <si>
    <t>Lập trình PB26</t>
  </si>
  <si>
    <t>6.4.3</t>
  </si>
  <si>
    <t>Kiểm thử PB26</t>
  </si>
  <si>
    <t>6.5</t>
  </si>
  <si>
    <t>PB27 - Báo cáo thống kê</t>
  </si>
  <si>
    <t>Thống kê theo trạng thái, theo ngày; tổng tiền thu; xuất Excel</t>
  </si>
  <si>
    <t>6.5.1</t>
  </si>
  <si>
    <t>Phân tích và thiết kế PB27</t>
  </si>
  <si>
    <t>6.5.2</t>
  </si>
  <si>
    <t>Lập trình PB27</t>
  </si>
  <si>
    <t>6.5.3</t>
  </si>
  <si>
    <t>Kiểm thử PB27</t>
  </si>
  <si>
    <t>TỔNG DỰ ÁN</t>
  </si>
  <si>
    <t>Chữ xanh/nền vàng = dữ liệu nhập hoặc tham số (giờ/điểm và tỷ lệ là ước lượng); chữ đen = công thức. Story, điểm, ưu tiên lấy từ Sprint backlog.</t>
  </si>
  <si>
    <t>Task con được xếp tuần tự trong sprint (một người làm), tính theo ngày làm việc T2-T6; Sprint 1 bắt đầu đúng ngày ở ô B2, các sprint sau cách nhau 14 ngày.</t>
  </si>
  <si>
    <t>GANTT CHART - HỆ THỐNG QUẢN LÝ GIAO HÀNG</t>
  </si>
  <si>
    <t>Thanh xanh đậm = Sprint, xanh vừa = Story (PB), xanh nhạt = task con. Cột xám = thứ Bảy/Chủ nhật. Nhấn nút +/- bên trái để thu gọn/mở rộng.</t>
  </si>
  <si>
    <t>Resource Name</t>
  </si>
  <si>
    <t>Vai trò</t>
  </si>
  <si>
    <t>Max Units</t>
  </si>
  <si>
    <t>Giờ/ngày</t>
  </si>
  <si>
    <t>Scrum Master, Developer (Fullstack)</t>
  </si>
  <si>
    <t>Nguồn: sheet Team trong Product Backlog.</t>
  </si>
  <si>
    <t>BURNDOWN CHART - SPRINT 1</t>
  </si>
  <si>
    <t>Tổng điểm KH:</t>
  </si>
  <si>
    <t>Bắt đầu:</t>
  </si>
  <si>
    <t>Số ngày:</t>
  </si>
  <si>
    <t>Giờ KH:</t>
  </si>
  <si>
    <t>Năng lực (giờ):</t>
  </si>
  <si>
    <t>Dư/thiếu:</t>
  </si>
  <si>
    <t>Ngày</t>
  </si>
  <si>
    <t>Ngày lịch</t>
  </si>
  <si>
    <t>Lý tưởng</t>
  </si>
  <si>
    <t>Kế hoạch theo WBS</t>
  </si>
  <si>
    <t>Thực tế (điểm còn lại)</t>
  </si>
  <si>
    <t>Thực tế: cuối mỗi ngày điền số điểm CÒN LẠI của sprint vào cột E (ô vàng); ô trống không vẽ lên biểu đồ.</t>
  </si>
  <si>
    <t>Kế hoạch theo WBS: điểm của story trừ dần vào ngày story đó kết thúc theo lịch ở sheet WBS.</t>
  </si>
  <si>
    <t>Story</t>
  </si>
  <si>
    <t>Tên story</t>
  </si>
  <si>
    <t>Kết thúc KH</t>
  </si>
  <si>
    <t>Ngày thứ (KH)</t>
  </si>
  <si>
    <t>BURNDOWN CHART - SPRINT 2</t>
  </si>
  <si>
    <t>BURNDOWN CHART - SPRINT 3</t>
  </si>
  <si>
    <t>BURNDOWN CHART - SPRINT 4</t>
  </si>
  <si>
    <t>BURNDOWN CHART - SPRINT 5</t>
  </si>
  <si>
    <t>BURNDOWN CHART - 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</si>
</sst>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"/>
    <numFmt numFmtId="166" formatCode="dd"/>
    <numFmt numFmtId="167" formatCode="dd/mm"/>
  </numFmts>
  <fonts count="14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  <font>
      <i/>
      <sz val="10"/>
      <name val="Arial"/>
      <charset val="1"/>
    </font>
    <font>
      <b/>
      <sz val="8"/>
      <name val="Arial"/>
      <charset val="1"/>
    </font>
    <font>
      <b/>
      <sz val="8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165" fontId="6" fillId="4" borderId="0" xfId="0" applyNumberFormat="1" applyFont="1" applyFill="1"/>
    <xf numFmtId="0" fontId="6" fillId="4" borderId="0" xfId="0" applyFont="1" applyFill="1"/>
    <xf numFmtId="9" fontId="6" fillId="4" borderId="0" xfId="0" applyNumberFormat="1" applyFont="1" applyFill="1"/>
    <xf numFmtId="9" fontId="2" fillId="0" borderId="0" xfId="0" applyNumberFormat="1" applyFont="1"/>
    <xf numFmtId="165" fontId="3" fillId="3" borderId="1" xfId="0" applyNumberFormat="1" applyFont="1" applyFill="1" applyBorder="1"/>
    <xf numFmtId="0" fontId="3" fillId="5" borderId="1" xfId="0" applyFont="1" applyFill="1" applyBorder="1"/>
    <xf numFmtId="0" fontId="7" fillId="5" borderId="1" xfId="0" applyFont="1" applyFill="1" applyBorder="1"/>
    <xf numFmtId="164" fontId="3" fillId="5" borderId="1" xfId="0" applyNumberFormat="1" applyFont="1" applyFill="1" applyBorder="1"/>
    <xf numFmtId="165" fontId="3" fillId="5" borderId="1" xfId="0" applyNumberFormat="1" applyFont="1" applyFill="1" applyBorder="1"/>
    <xf numFmtId="0" fontId="6" fillId="0" borderId="1" xfId="0" applyFont="1" applyBorder="1"/>
    <xf numFmtId="164" fontId="3" fillId="0" borderId="0" xfId="0" applyNumberFormat="1" applyFont="1"/>
    <xf numFmtId="0" fontId="8" fillId="0" borderId="0" xfId="0" applyFont="1"/>
    <xf numFmtId="0" fontId="9" fillId="0" borderId="0" xfId="0" applyFont="1"/>
    <xf numFmtId="166" fontId="10" fillId="2" borderId="0" xfId="0" applyNumberFormat="1" applyFont="1" applyFill="1" applyAlignment="1">
      <alignment horizontal="center"/>
    </xf>
    <xf numFmtId="0" fontId="11" fillId="3" borderId="1" xfId="0" applyFont="1" applyFill="1" applyBorder="1"/>
    <xf numFmtId="14" fontId="11" fillId="3" borderId="1" xfId="0" applyNumberFormat="1" applyFont="1" applyFill="1" applyBorder="1"/>
    <xf numFmtId="0" fontId="11" fillId="0" borderId="1" xfId="0" applyFont="1" applyBorder="1"/>
    <xf numFmtId="14" fontId="11" fillId="0" borderId="1" xfId="0" applyNumberFormat="1" applyFont="1" applyBorder="1"/>
    <xf numFmtId="0" fontId="12" fillId="0" borderId="1" xfId="0" applyFont="1" applyBorder="1"/>
    <xf numFmtId="14" fontId="12" fillId="0" borderId="1" xfId="0" applyNumberFormat="1" applyFont="1" applyBorder="1"/>
    <xf numFmtId="9" fontId="6" fillId="0" borderId="1" xfId="0" applyNumberFormat="1" applyFont="1" applyBorder="1"/>
    <xf numFmtId="165" fontId="2" fillId="0" borderId="0" xfId="0" applyNumberFormat="1" applyFont="1"/>
    <xf numFmtId="164" fontId="2" fillId="0" borderId="0" xfId="0" applyNumberFormat="1" applyFont="1"/>
    <xf numFmtId="167" fontId="2" fillId="0" borderId="1" xfId="0" applyNumberFormat="1" applyFont="1" applyBorder="1"/>
    <xf numFmtId="0" fontId="6" fillId="4" borderId="1" xfId="0" applyFont="1" applyFill="1" applyBorder="1"/>
    <xf numFmtId="0" fontId="13" fillId="0" borderId="0" xfId="0" applyFont="1"/>
  </cellXfs>
  <cellStyles count="1">
    <cellStyle name="Normal" xfId="0" builtinId="0"/>
  </cellStyles>
  <dxfs count="4">
    <dxf>
      <fill>
        <patternFill>
          <bgColor rgb="FFE7E6E6"/>
        </patternFill>
      </fill>
    </dxf>
    <dxf>
      <fill>
        <patternFill>
          <bgColor rgb="FF9DC3E6"/>
        </patternFill>
      </fill>
    </dxf>
    <dxf>
      <fill>
        <patternFill>
          <bgColor rgb="FF2E75B6"/>
        </patternFill>
      </fill>
    </dxf>
    <dxf>
      <fill>
        <patternFill>
          <bgColor rgb="FF1F4E7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Điểm story theo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'Tong hop'!$C$3</c:f>
              <c:strCache>
                <c:ptCount val="1"/>
                <c:pt idx="0">
                  <c:v>Điểm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'Tong hop'!$A$4:$A$9</c:f>
              <c:strCache>
                <c:ptCount val="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</c:strCache>
            </c:strRef>
          </c:cat>
          <c:val>
            <c:numRef>
              <c:f>'Tong hop'!$C$4:$C$9</c:f>
              <c:numCache>
                <c:formatCode>General</c:formatCode>
                <c:ptCount val="6"/>
                <c:pt idx="0">
                  <c:v>13</c:v>
                </c:pt>
                <c:pt idx="1">
                  <c:v>19</c:v>
                </c:pt>
                <c:pt idx="2">
                  <c:v>20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7-4C29-9D19-A900B9EC2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008672"/>
        <c:axId val="1035839"/>
      </c:barChart>
      <c:catAx>
        <c:axId val="6800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5839"/>
        <c:crosses val="autoZero"/>
        <c:auto val="1"/>
        <c:lblAlgn val="ctr"/>
        <c:lblOffset val="100"/>
        <c:noMultiLvlLbl val="0"/>
      </c:catAx>
      <c:valAx>
        <c:axId val="10358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Điểm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0086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Chart -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1'!$C$5</c:f>
              <c:strCache>
                <c:ptCount val="1"/>
                <c:pt idx="0">
                  <c:v>Lý tưởng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1'!$A$6:$A$20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1'!$C$6:$C$20</c:f>
              <c:numCache>
                <c:formatCode>General</c:formatCode>
                <c:ptCount val="15"/>
                <c:pt idx="0">
                  <c:v>13</c:v>
                </c:pt>
                <c:pt idx="1">
                  <c:v>12.1</c:v>
                </c:pt>
                <c:pt idx="2">
                  <c:v>11.1</c:v>
                </c:pt>
                <c:pt idx="3">
                  <c:v>10.199999999999999</c:v>
                </c:pt>
                <c:pt idx="4">
                  <c:v>9.3000000000000007</c:v>
                </c:pt>
                <c:pt idx="5">
                  <c:v>8.4</c:v>
                </c:pt>
                <c:pt idx="6">
                  <c:v>7.4</c:v>
                </c:pt>
                <c:pt idx="7">
                  <c:v>6.5</c:v>
                </c:pt>
                <c:pt idx="8">
                  <c:v>5.6</c:v>
                </c:pt>
                <c:pt idx="9">
                  <c:v>4.5999999999999996</c:v>
                </c:pt>
                <c:pt idx="10">
                  <c:v>3.7</c:v>
                </c:pt>
                <c:pt idx="11">
                  <c:v>2.8</c:v>
                </c:pt>
                <c:pt idx="12">
                  <c:v>1.9</c:v>
                </c:pt>
                <c:pt idx="13">
                  <c:v>0.9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9-428A-83A5-1845852BEBE9}"/>
            </c:ext>
          </c:extLst>
        </c:ser>
        <c:ser>
          <c:idx val="1"/>
          <c:order val="1"/>
          <c:tx>
            <c:strRef>
              <c:f>'Sprint 1'!$D$5</c:f>
              <c:strCache>
                <c:ptCount val="1"/>
                <c:pt idx="0">
                  <c:v>Kế hoạch theo WBS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1'!$A$6:$A$20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1'!$D$6:$D$20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8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29-428A-83A5-1845852BEBE9}"/>
            </c:ext>
          </c:extLst>
        </c:ser>
        <c:ser>
          <c:idx val="2"/>
          <c:order val="2"/>
          <c:tx>
            <c:strRef>
              <c:f>'Sprint 1'!$E$5</c:f>
              <c:strCache>
                <c:ptCount val="1"/>
                <c:pt idx="0">
                  <c:v>Thực tế (điểm còn lại)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1'!$A$6:$A$20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1'!$E$6:$E$20</c:f>
              <c:numCache>
                <c:formatCode>General</c:formatCode>
                <c:ptCount val="15"/>
                <c:pt idx="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29-428A-83A5-1845852BE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775478"/>
        <c:axId val="37996097"/>
      </c:lineChart>
      <c:catAx>
        <c:axId val="927754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Ngày trong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96097"/>
        <c:crosses val="autoZero"/>
        <c:auto val="1"/>
        <c:lblAlgn val="ctr"/>
        <c:lblOffset val="100"/>
        <c:noMultiLvlLbl val="0"/>
      </c:catAx>
      <c:valAx>
        <c:axId val="37996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Điểm còn lại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7754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Chart -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2'!$C$5</c:f>
              <c:strCache>
                <c:ptCount val="1"/>
                <c:pt idx="0">
                  <c:v>Lý tưởng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2'!$A$6:$A$20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2'!$C$6:$C$20</c:f>
              <c:numCache>
                <c:formatCode>General</c:formatCode>
                <c:ptCount val="15"/>
                <c:pt idx="0">
                  <c:v>19</c:v>
                </c:pt>
                <c:pt idx="1">
                  <c:v>17.600000000000001</c:v>
                </c:pt>
                <c:pt idx="2">
                  <c:v>16.3</c:v>
                </c:pt>
                <c:pt idx="3">
                  <c:v>14.9</c:v>
                </c:pt>
                <c:pt idx="4">
                  <c:v>13.6</c:v>
                </c:pt>
                <c:pt idx="5">
                  <c:v>12.2</c:v>
                </c:pt>
                <c:pt idx="6">
                  <c:v>10.9</c:v>
                </c:pt>
                <c:pt idx="7">
                  <c:v>9.5</c:v>
                </c:pt>
                <c:pt idx="8">
                  <c:v>8.1</c:v>
                </c:pt>
                <c:pt idx="9">
                  <c:v>6.8</c:v>
                </c:pt>
                <c:pt idx="10">
                  <c:v>5.4</c:v>
                </c:pt>
                <c:pt idx="11">
                  <c:v>4.0999999999999996</c:v>
                </c:pt>
                <c:pt idx="12">
                  <c:v>2.7</c:v>
                </c:pt>
                <c:pt idx="13">
                  <c:v>1.4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BAB-97BF-D18383132613}"/>
            </c:ext>
          </c:extLst>
        </c:ser>
        <c:ser>
          <c:idx val="1"/>
          <c:order val="1"/>
          <c:tx>
            <c:strRef>
              <c:f>'Sprint 2'!$D$5</c:f>
              <c:strCache>
                <c:ptCount val="1"/>
                <c:pt idx="0">
                  <c:v>Kế hoạch theo WBS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2'!$A$6:$A$20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2'!$D$6:$D$20</c:f>
              <c:numCache>
                <c:formatCode>General</c:formatCode>
                <c:ptCount val="15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14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8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BAB-97BF-D18383132613}"/>
            </c:ext>
          </c:extLst>
        </c:ser>
        <c:ser>
          <c:idx val="2"/>
          <c:order val="2"/>
          <c:tx>
            <c:strRef>
              <c:f>'Sprint 2'!$E$5</c:f>
              <c:strCache>
                <c:ptCount val="1"/>
                <c:pt idx="0">
                  <c:v>Thực tế (điểm còn lại)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2'!$A$6:$A$20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2'!$E$6:$E$20</c:f>
              <c:numCache>
                <c:formatCode>General</c:formatCode>
                <c:ptCount val="15"/>
                <c:pt idx="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BAB-97BF-D18383132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73332"/>
        <c:axId val="33184949"/>
      </c:lineChart>
      <c:catAx>
        <c:axId val="89733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Ngày trong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184949"/>
        <c:crosses val="autoZero"/>
        <c:auto val="1"/>
        <c:lblAlgn val="ctr"/>
        <c:lblOffset val="100"/>
        <c:noMultiLvlLbl val="0"/>
      </c:catAx>
      <c:valAx>
        <c:axId val="33184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Điểm còn lại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733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Chart -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3'!$C$5</c:f>
              <c:strCache>
                <c:ptCount val="1"/>
                <c:pt idx="0">
                  <c:v>Lý tưởng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3'!$A$6:$A$20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3'!$C$6:$C$20</c:f>
              <c:numCache>
                <c:formatCode>General</c:formatCode>
                <c:ptCount val="15"/>
                <c:pt idx="0">
                  <c:v>20</c:v>
                </c:pt>
                <c:pt idx="1">
                  <c:v>18.600000000000001</c:v>
                </c:pt>
                <c:pt idx="2">
                  <c:v>17.100000000000001</c:v>
                </c:pt>
                <c:pt idx="3">
                  <c:v>15.7</c:v>
                </c:pt>
                <c:pt idx="4">
                  <c:v>14.3</c:v>
                </c:pt>
                <c:pt idx="5">
                  <c:v>12.9</c:v>
                </c:pt>
                <c:pt idx="6">
                  <c:v>11.4</c:v>
                </c:pt>
                <c:pt idx="7">
                  <c:v>10</c:v>
                </c:pt>
                <c:pt idx="8">
                  <c:v>8.6</c:v>
                </c:pt>
                <c:pt idx="9">
                  <c:v>7.1</c:v>
                </c:pt>
                <c:pt idx="10">
                  <c:v>5.7</c:v>
                </c:pt>
                <c:pt idx="11">
                  <c:v>4.3</c:v>
                </c:pt>
                <c:pt idx="12">
                  <c:v>2.9</c:v>
                </c:pt>
                <c:pt idx="13">
                  <c:v>1.4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F-4D9C-B526-2CE376716626}"/>
            </c:ext>
          </c:extLst>
        </c:ser>
        <c:ser>
          <c:idx val="1"/>
          <c:order val="1"/>
          <c:tx>
            <c:strRef>
              <c:f>'Sprint 3'!$D$5</c:f>
              <c:strCache>
                <c:ptCount val="1"/>
                <c:pt idx="0">
                  <c:v>Kế hoạch theo WBS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3'!$A$6:$A$20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3'!$D$6:$D$20</c:f>
              <c:numCache>
                <c:formatCode>General</c:formatCode>
                <c:ptCount val="15"/>
                <c:pt idx="0">
                  <c:v>20</c:v>
                </c:pt>
                <c:pt idx="1">
                  <c:v>20</c:v>
                </c:pt>
                <c:pt idx="2">
                  <c:v>17</c:v>
                </c:pt>
                <c:pt idx="3">
                  <c:v>14</c:v>
                </c:pt>
                <c:pt idx="4">
                  <c:v>14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F-4D9C-B526-2CE376716626}"/>
            </c:ext>
          </c:extLst>
        </c:ser>
        <c:ser>
          <c:idx val="2"/>
          <c:order val="2"/>
          <c:tx>
            <c:strRef>
              <c:f>'Sprint 3'!$E$5</c:f>
              <c:strCache>
                <c:ptCount val="1"/>
                <c:pt idx="0">
                  <c:v>Thực tế (điểm còn lại)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3'!$A$6:$A$20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3'!$E$6:$E$20</c:f>
              <c:numCache>
                <c:formatCode>General</c:formatCode>
                <c:ptCount val="15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F-4D9C-B526-2CE376716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158173"/>
        <c:axId val="96975"/>
      </c:lineChart>
      <c:catAx>
        <c:axId val="91158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Ngày trong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975"/>
        <c:crosses val="autoZero"/>
        <c:auto val="1"/>
        <c:lblAlgn val="ctr"/>
        <c:lblOffset val="100"/>
        <c:noMultiLvlLbl val="0"/>
      </c:catAx>
      <c:valAx>
        <c:axId val="96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Điểm còn lại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581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Chart - Sprint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4'!$C$5</c:f>
              <c:strCache>
                <c:ptCount val="1"/>
                <c:pt idx="0">
                  <c:v>Lý tưởng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4'!$A$6:$A$20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4'!$C$6:$C$20</c:f>
              <c:numCache>
                <c:formatCode>General</c:formatCode>
                <c:ptCount val="15"/>
                <c:pt idx="0">
                  <c:v>19</c:v>
                </c:pt>
                <c:pt idx="1">
                  <c:v>17.600000000000001</c:v>
                </c:pt>
                <c:pt idx="2">
                  <c:v>16.3</c:v>
                </c:pt>
                <c:pt idx="3">
                  <c:v>14.9</c:v>
                </c:pt>
                <c:pt idx="4">
                  <c:v>13.6</c:v>
                </c:pt>
                <c:pt idx="5">
                  <c:v>12.2</c:v>
                </c:pt>
                <c:pt idx="6">
                  <c:v>10.9</c:v>
                </c:pt>
                <c:pt idx="7">
                  <c:v>9.5</c:v>
                </c:pt>
                <c:pt idx="8">
                  <c:v>8.1</c:v>
                </c:pt>
                <c:pt idx="9">
                  <c:v>6.8</c:v>
                </c:pt>
                <c:pt idx="10">
                  <c:v>5.4</c:v>
                </c:pt>
                <c:pt idx="11">
                  <c:v>4.0999999999999996</c:v>
                </c:pt>
                <c:pt idx="12">
                  <c:v>2.7</c:v>
                </c:pt>
                <c:pt idx="13">
                  <c:v>1.4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E-4A4E-A169-22CF890BAEB4}"/>
            </c:ext>
          </c:extLst>
        </c:ser>
        <c:ser>
          <c:idx val="1"/>
          <c:order val="1"/>
          <c:tx>
            <c:strRef>
              <c:f>'Sprint 4'!$D$5</c:f>
              <c:strCache>
                <c:ptCount val="1"/>
                <c:pt idx="0">
                  <c:v>Kế hoạch theo WBS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4'!$A$6:$A$20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4'!$D$6:$D$20</c:f>
              <c:numCache>
                <c:formatCode>General</c:formatCode>
                <c:ptCount val="15"/>
                <c:pt idx="0">
                  <c:v>19</c:v>
                </c:pt>
                <c:pt idx="1">
                  <c:v>19</c:v>
                </c:pt>
                <c:pt idx="2">
                  <c:v>16</c:v>
                </c:pt>
                <c:pt idx="3">
                  <c:v>16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8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AE-4A4E-A169-22CF890BAEB4}"/>
            </c:ext>
          </c:extLst>
        </c:ser>
        <c:ser>
          <c:idx val="2"/>
          <c:order val="2"/>
          <c:tx>
            <c:strRef>
              <c:f>'Sprint 4'!$E$5</c:f>
              <c:strCache>
                <c:ptCount val="1"/>
                <c:pt idx="0">
                  <c:v>Thực tế (điểm còn lại)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4'!$A$6:$A$20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4'!$E$6:$E$20</c:f>
              <c:numCache>
                <c:formatCode>General</c:formatCode>
                <c:ptCount val="15"/>
                <c:pt idx="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AE-4A4E-A169-22CF890BA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461372"/>
        <c:axId val="38474789"/>
      </c:lineChart>
      <c:catAx>
        <c:axId val="17461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Ngày trong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74789"/>
        <c:crosses val="autoZero"/>
        <c:auto val="1"/>
        <c:lblAlgn val="ctr"/>
        <c:lblOffset val="100"/>
        <c:noMultiLvlLbl val="0"/>
      </c:catAx>
      <c:valAx>
        <c:axId val="38474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Điểm còn lại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4613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Chart - Sprint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5'!$C$5</c:f>
              <c:strCache>
                <c:ptCount val="1"/>
                <c:pt idx="0">
                  <c:v>Lý tưởng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5'!$A$6:$A$20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5'!$C$6:$C$20</c:f>
              <c:numCache>
                <c:formatCode>General</c:formatCode>
                <c:ptCount val="15"/>
                <c:pt idx="0">
                  <c:v>18</c:v>
                </c:pt>
                <c:pt idx="1">
                  <c:v>16.7</c:v>
                </c:pt>
                <c:pt idx="2">
                  <c:v>15.4</c:v>
                </c:pt>
                <c:pt idx="3">
                  <c:v>14.1</c:v>
                </c:pt>
                <c:pt idx="4">
                  <c:v>12.9</c:v>
                </c:pt>
                <c:pt idx="5">
                  <c:v>11.6</c:v>
                </c:pt>
                <c:pt idx="6">
                  <c:v>10.3</c:v>
                </c:pt>
                <c:pt idx="7">
                  <c:v>9</c:v>
                </c:pt>
                <c:pt idx="8">
                  <c:v>7.7</c:v>
                </c:pt>
                <c:pt idx="9">
                  <c:v>6.4</c:v>
                </c:pt>
                <c:pt idx="10">
                  <c:v>5.0999999999999996</c:v>
                </c:pt>
                <c:pt idx="11">
                  <c:v>3.9</c:v>
                </c:pt>
                <c:pt idx="12">
                  <c:v>2.6</c:v>
                </c:pt>
                <c:pt idx="13">
                  <c:v>1.3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C-416E-B255-8BC6A8691C17}"/>
            </c:ext>
          </c:extLst>
        </c:ser>
        <c:ser>
          <c:idx val="1"/>
          <c:order val="1"/>
          <c:tx>
            <c:strRef>
              <c:f>'Sprint 5'!$D$5</c:f>
              <c:strCache>
                <c:ptCount val="1"/>
                <c:pt idx="0">
                  <c:v>Kế hoạch theo WBS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5'!$A$6:$A$20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5'!$D$6:$D$20</c:f>
              <c:numCache>
                <c:formatCode>General</c:formatCode>
                <c:ptCount val="15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13</c:v>
                </c:pt>
                <c:pt idx="4">
                  <c:v>13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9C-416E-B255-8BC6A8691C17}"/>
            </c:ext>
          </c:extLst>
        </c:ser>
        <c:ser>
          <c:idx val="2"/>
          <c:order val="2"/>
          <c:tx>
            <c:strRef>
              <c:f>'Sprint 5'!$E$5</c:f>
              <c:strCache>
                <c:ptCount val="1"/>
                <c:pt idx="0">
                  <c:v>Thực tế (điểm còn lại)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5'!$A$6:$A$20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5'!$E$6:$E$20</c:f>
              <c:numCache>
                <c:formatCode>General</c:formatCode>
                <c:ptCount val="15"/>
                <c:pt idx="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9C-416E-B255-8BC6A8691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038825"/>
        <c:axId val="30750334"/>
      </c:lineChart>
      <c:catAx>
        <c:axId val="850388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Ngày trong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750334"/>
        <c:crosses val="autoZero"/>
        <c:auto val="1"/>
        <c:lblAlgn val="ctr"/>
        <c:lblOffset val="100"/>
        <c:noMultiLvlLbl val="0"/>
      </c:catAx>
      <c:valAx>
        <c:axId val="30750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Điểm còn lại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0388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Chart - Sprint 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6'!$C$5</c:f>
              <c:strCache>
                <c:ptCount val="1"/>
                <c:pt idx="0">
                  <c:v>Lý tưởng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6'!$A$6:$A$20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6'!$C$6:$C$20</c:f>
              <c:numCache>
                <c:formatCode>General</c:formatCode>
                <c:ptCount val="15"/>
                <c:pt idx="0">
                  <c:v>17</c:v>
                </c:pt>
                <c:pt idx="1">
                  <c:v>15.8</c:v>
                </c:pt>
                <c:pt idx="2">
                  <c:v>14.6</c:v>
                </c:pt>
                <c:pt idx="3">
                  <c:v>13.4</c:v>
                </c:pt>
                <c:pt idx="4">
                  <c:v>12.1</c:v>
                </c:pt>
                <c:pt idx="5">
                  <c:v>10.9</c:v>
                </c:pt>
                <c:pt idx="6">
                  <c:v>9.6999999999999993</c:v>
                </c:pt>
                <c:pt idx="7">
                  <c:v>8.5</c:v>
                </c:pt>
                <c:pt idx="8">
                  <c:v>7.3</c:v>
                </c:pt>
                <c:pt idx="9">
                  <c:v>6.1</c:v>
                </c:pt>
                <c:pt idx="10">
                  <c:v>4.9000000000000004</c:v>
                </c:pt>
                <c:pt idx="11">
                  <c:v>3.6</c:v>
                </c:pt>
                <c:pt idx="12">
                  <c:v>2.4</c:v>
                </c:pt>
                <c:pt idx="13">
                  <c:v>1.2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F-41A7-B7E4-F2F96429BC58}"/>
            </c:ext>
          </c:extLst>
        </c:ser>
        <c:ser>
          <c:idx val="1"/>
          <c:order val="1"/>
          <c:tx>
            <c:strRef>
              <c:f>'Sprint 6'!$D$5</c:f>
              <c:strCache>
                <c:ptCount val="1"/>
                <c:pt idx="0">
                  <c:v>Kế hoạch theo WBS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6'!$A$6:$A$20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6'!$D$6:$D$20</c:f>
              <c:numCache>
                <c:formatCode>General</c:formatCode>
                <c:ptCount val="15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12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6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BF-41A7-B7E4-F2F96429BC58}"/>
            </c:ext>
          </c:extLst>
        </c:ser>
        <c:ser>
          <c:idx val="2"/>
          <c:order val="2"/>
          <c:tx>
            <c:strRef>
              <c:f>'Sprint 6'!$E$5</c:f>
              <c:strCache>
                <c:ptCount val="1"/>
                <c:pt idx="0">
                  <c:v>Thực tế (điểm còn lại)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6'!$A$6:$A$20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6'!$E$6:$E$20</c:f>
              <c:numCache>
                <c:formatCode>General</c:formatCode>
                <c:ptCount val="15"/>
                <c:pt idx="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BF-41A7-B7E4-F2F96429B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543085"/>
        <c:axId val="46648473"/>
      </c:lineChart>
      <c:catAx>
        <c:axId val="415430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Ngày trong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648473"/>
        <c:crosses val="autoZero"/>
        <c:auto val="1"/>
        <c:lblAlgn val="ctr"/>
        <c:lblOffset val="100"/>
        <c:noMultiLvlLbl val="0"/>
      </c:catAx>
      <c:valAx>
        <c:axId val="46648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Điểm còn lại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5430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175680</xdr:rowOff>
    </xdr:from>
    <xdr:to>
      <xdr:col>6</xdr:col>
      <xdr:colOff>684720</xdr:colOff>
      <xdr:row>27</xdr:row>
      <xdr:rowOff>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176040</xdr:rowOff>
    </xdr:from>
    <xdr:to>
      <xdr:col>12</xdr:col>
      <xdr:colOff>2520</xdr:colOff>
      <xdr:row>20</xdr:row>
      <xdr:rowOff>156240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176040</xdr:rowOff>
    </xdr:from>
    <xdr:to>
      <xdr:col>12</xdr:col>
      <xdr:colOff>2520</xdr:colOff>
      <xdr:row>20</xdr:row>
      <xdr:rowOff>156240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176040</xdr:rowOff>
    </xdr:from>
    <xdr:to>
      <xdr:col>12</xdr:col>
      <xdr:colOff>2520</xdr:colOff>
      <xdr:row>20</xdr:row>
      <xdr:rowOff>156240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176040</xdr:rowOff>
    </xdr:from>
    <xdr:to>
      <xdr:col>12</xdr:col>
      <xdr:colOff>2520</xdr:colOff>
      <xdr:row>20</xdr:row>
      <xdr:rowOff>156240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176040</xdr:rowOff>
    </xdr:from>
    <xdr:to>
      <xdr:col>12</xdr:col>
      <xdr:colOff>2520</xdr:colOff>
      <xdr:row>20</xdr:row>
      <xdr:rowOff>156240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176040</xdr:rowOff>
    </xdr:from>
    <xdr:to>
      <xdr:col>12</xdr:col>
      <xdr:colOff>2520</xdr:colOff>
      <xdr:row>20</xdr:row>
      <xdr:rowOff>156240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zoomScaleNormal="100" workbookViewId="0">
      <selection activeCell="A7" sqref="A7"/>
    </sheetView>
  </sheetViews>
  <sheetFormatPr defaultColWidth="8.7109375" defaultRowHeight="15" x14ac:dyDescent="0.25"/>
  <cols>
    <col min="1" max="1" width="150" customWidth="1"/>
  </cols>
  <sheetData>
    <row r="1" spans="1:1" ht="15.75" x14ac:dyDescent="0.25">
      <c r="A1" s="1"/>
    </row>
    <row r="2" spans="1:1" x14ac:dyDescent="0.25">
      <c r="A2" s="36" t="s">
        <v>0</v>
      </c>
    </row>
    <row r="3" spans="1:1" x14ac:dyDescent="0.25">
      <c r="A3" s="2"/>
    </row>
    <row r="4" spans="1:1" x14ac:dyDescent="0.25">
      <c r="A4" s="3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3" t="s">
        <v>7</v>
      </c>
    </row>
    <row r="12" spans="1:1" x14ac:dyDescent="0.25">
      <c r="A12" s="2" t="s">
        <v>8</v>
      </c>
    </row>
    <row r="13" spans="1:1" x14ac:dyDescent="0.25">
      <c r="A13" s="2"/>
    </row>
    <row r="14" spans="1:1" x14ac:dyDescent="0.25">
      <c r="A14" s="3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0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10" customWidth="1"/>
    <col min="3" max="3" width="8" customWidth="1"/>
    <col min="4" max="4" width="10" customWidth="1"/>
    <col min="5" max="5" width="14" customWidth="1"/>
    <col min="6" max="6" width="18" customWidth="1"/>
    <col min="7" max="9" width="14" customWidth="1"/>
  </cols>
  <sheetData>
    <row r="1" spans="1:9" ht="16.5" x14ac:dyDescent="0.25">
      <c r="A1" s="4" t="s">
        <v>14</v>
      </c>
    </row>
    <row r="3" spans="1:9" ht="30" customHeight="1" x14ac:dyDescent="0.25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spans="1:9" x14ac:dyDescent="0.25">
      <c r="A4" s="6" t="s">
        <v>24</v>
      </c>
      <c r="B4" s="6">
        <f>COUNTIFS(WBS!$D$6:$D$119,1,WBS!$B$6:$B$119,2)</f>
        <v>3</v>
      </c>
      <c r="C4" s="6">
        <f>WBS!E6</f>
        <v>13</v>
      </c>
      <c r="D4" s="7">
        <f>WBS!F6</f>
        <v>52</v>
      </c>
      <c r="E4" s="8">
        <f>WBS!H6</f>
        <v>46321</v>
      </c>
      <c r="F4" s="8">
        <f>WBS!I6</f>
        <v>46334</v>
      </c>
      <c r="G4" s="8">
        <f>MAX(WBS!I7:I18)</f>
        <v>46329</v>
      </c>
      <c r="H4" s="7">
        <f>NETWORKDAYS(E4,F4)*WBS!$F$2</f>
        <v>80</v>
      </c>
      <c r="I4" s="7">
        <f t="shared" ref="I4:I9" si="0">H4-D4</f>
        <v>28</v>
      </c>
    </row>
    <row r="5" spans="1:9" x14ac:dyDescent="0.25">
      <c r="A5" s="6" t="s">
        <v>25</v>
      </c>
      <c r="B5" s="6">
        <f>COUNTIFS(WBS!$D$6:$D$119,2,WBS!$B$6:$B$119,2)</f>
        <v>5</v>
      </c>
      <c r="C5" s="6">
        <f>WBS!E19</f>
        <v>19</v>
      </c>
      <c r="D5" s="7">
        <f>WBS!F19</f>
        <v>76</v>
      </c>
      <c r="E5" s="8">
        <f>WBS!H19</f>
        <v>46335</v>
      </c>
      <c r="F5" s="8">
        <f>WBS!I19</f>
        <v>46348</v>
      </c>
      <c r="G5" s="8">
        <f>MAX(WBS!I20:I39)</f>
        <v>46346</v>
      </c>
      <c r="H5" s="7">
        <f>NETWORKDAYS(E5,F5)*WBS!$F$2</f>
        <v>80</v>
      </c>
      <c r="I5" s="7">
        <f t="shared" si="0"/>
        <v>4</v>
      </c>
    </row>
    <row r="6" spans="1:9" x14ac:dyDescent="0.25">
      <c r="A6" s="6" t="s">
        <v>26</v>
      </c>
      <c r="B6" s="6">
        <f>COUNTIFS(WBS!$D$6:$D$119,3,WBS!$B$6:$B$119,2)</f>
        <v>6</v>
      </c>
      <c r="C6" s="6">
        <f>WBS!E40</f>
        <v>20</v>
      </c>
      <c r="D6" s="7">
        <f>WBS!F40</f>
        <v>80</v>
      </c>
      <c r="E6" s="8">
        <f>WBS!H40</f>
        <v>46349</v>
      </c>
      <c r="F6" s="8">
        <f>WBS!I40</f>
        <v>46362</v>
      </c>
      <c r="G6" s="8">
        <f>MAX(WBS!I41:I64)</f>
        <v>46360</v>
      </c>
      <c r="H6" s="7">
        <f>NETWORKDAYS(E6,F6)*WBS!$F$2</f>
        <v>80</v>
      </c>
      <c r="I6" s="7">
        <f t="shared" si="0"/>
        <v>0</v>
      </c>
    </row>
    <row r="7" spans="1:9" x14ac:dyDescent="0.25">
      <c r="A7" s="6" t="s">
        <v>27</v>
      </c>
      <c r="B7" s="6">
        <f>COUNTIFS(WBS!$D$6:$D$119,4,WBS!$B$6:$B$119,2)</f>
        <v>5</v>
      </c>
      <c r="C7" s="6">
        <f>WBS!E65</f>
        <v>19</v>
      </c>
      <c r="D7" s="7">
        <f>WBS!F65</f>
        <v>76</v>
      </c>
      <c r="E7" s="8">
        <f>WBS!H65</f>
        <v>46363</v>
      </c>
      <c r="F7" s="8">
        <f>WBS!I65</f>
        <v>46376</v>
      </c>
      <c r="G7" s="8">
        <f>MAX(WBS!I66:I85)</f>
        <v>46374</v>
      </c>
      <c r="H7" s="7">
        <f>NETWORKDAYS(E7,F7)*WBS!$F$2</f>
        <v>80</v>
      </c>
      <c r="I7" s="7">
        <f t="shared" si="0"/>
        <v>4</v>
      </c>
    </row>
    <row r="8" spans="1:9" x14ac:dyDescent="0.25">
      <c r="A8" s="6" t="s">
        <v>28</v>
      </c>
      <c r="B8" s="6">
        <f>COUNTIFS(WBS!$D$6:$D$119,5,WBS!$B$6:$B$119,2)</f>
        <v>3</v>
      </c>
      <c r="C8" s="6">
        <f>WBS!E86</f>
        <v>18</v>
      </c>
      <c r="D8" s="7">
        <f>WBS!F86</f>
        <v>72</v>
      </c>
      <c r="E8" s="8">
        <f>WBS!H86</f>
        <v>46377</v>
      </c>
      <c r="F8" s="8">
        <f>WBS!I86</f>
        <v>46390</v>
      </c>
      <c r="G8" s="8">
        <f>MAX(WBS!I87:I98)</f>
        <v>46387</v>
      </c>
      <c r="H8" s="7">
        <f>NETWORKDAYS(E8,F8)*WBS!$F$2</f>
        <v>80</v>
      </c>
      <c r="I8" s="7">
        <f t="shared" si="0"/>
        <v>8</v>
      </c>
    </row>
    <row r="9" spans="1:9" x14ac:dyDescent="0.25">
      <c r="A9" s="6" t="s">
        <v>29</v>
      </c>
      <c r="B9" s="6">
        <f>COUNTIFS(WBS!$D$6:$D$119,6,WBS!$B$6:$B$119,2)</f>
        <v>5</v>
      </c>
      <c r="C9" s="6">
        <f>WBS!E99</f>
        <v>17</v>
      </c>
      <c r="D9" s="7">
        <f>WBS!F99</f>
        <v>68</v>
      </c>
      <c r="E9" s="8">
        <f>WBS!H99</f>
        <v>46391</v>
      </c>
      <c r="F9" s="8">
        <f>WBS!I99</f>
        <v>46404</v>
      </c>
      <c r="G9" s="8">
        <f>MAX(WBS!I100:I119)</f>
        <v>46401</v>
      </c>
      <c r="H9" s="7">
        <f>NETWORKDAYS(E9,F9)*WBS!$F$2</f>
        <v>80</v>
      </c>
      <c r="I9" s="7">
        <f t="shared" si="0"/>
        <v>12</v>
      </c>
    </row>
    <row r="10" spans="1:9" x14ac:dyDescent="0.25">
      <c r="A10" s="9" t="s">
        <v>30</v>
      </c>
      <c r="B10" s="9">
        <f>SUM(B4:B9)</f>
        <v>27</v>
      </c>
      <c r="C10" s="9">
        <f>SUM(C4:C9)</f>
        <v>106</v>
      </c>
      <c r="D10" s="10">
        <f>SUM(D4:D9)</f>
        <v>424</v>
      </c>
      <c r="E10" s="9"/>
      <c r="F10" s="9"/>
      <c r="G10" s="9"/>
      <c r="H10" s="10">
        <f>SUM(H4:H9)</f>
        <v>480</v>
      </c>
      <c r="I10" s="10">
        <f>SUM(I4:I9)</f>
        <v>56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7109375" defaultRowHeight="15" outlineLevelRow="2" x14ac:dyDescent="0.25"/>
  <cols>
    <col min="1" max="1" width="8" customWidth="1"/>
    <col min="2" max="2" width="7" customWidth="1"/>
    <col min="3" max="3" width="62" customWidth="1"/>
    <col min="4" max="5" width="8" customWidth="1"/>
    <col min="6" max="6" width="12" customWidth="1"/>
    <col min="7" max="7" width="14" customWidth="1"/>
    <col min="8" max="9" width="12" customWidth="1"/>
    <col min="10" max="10" width="18" customWidth="1"/>
    <col min="11" max="11" width="10" customWidth="1"/>
    <col min="12" max="12" width="70" customWidth="1"/>
    <col min="13" max="13" width="16" customWidth="1"/>
  </cols>
  <sheetData>
    <row r="1" spans="1:13" ht="16.5" x14ac:dyDescent="0.25">
      <c r="A1" s="4" t="s">
        <v>31</v>
      </c>
    </row>
    <row r="2" spans="1:13" x14ac:dyDescent="0.25">
      <c r="A2" s="3" t="s">
        <v>32</v>
      </c>
      <c r="B2" s="11">
        <v>46321</v>
      </c>
      <c r="C2" s="3" t="s">
        <v>33</v>
      </c>
      <c r="D2" s="12">
        <v>14</v>
      </c>
      <c r="E2" s="3" t="s">
        <v>34</v>
      </c>
      <c r="F2" s="12">
        <v>8</v>
      </c>
    </row>
    <row r="3" spans="1:13" x14ac:dyDescent="0.25">
      <c r="A3" s="3" t="s">
        <v>35</v>
      </c>
      <c r="B3" s="12">
        <v>4</v>
      </c>
      <c r="C3" s="3" t="s">
        <v>36</v>
      </c>
      <c r="D3" s="13">
        <v>0.2</v>
      </c>
      <c r="E3" s="3" t="s">
        <v>37</v>
      </c>
      <c r="F3" s="13">
        <v>0.6</v>
      </c>
      <c r="G3" s="3" t="s">
        <v>38</v>
      </c>
      <c r="H3" s="14">
        <f>1-D3-F3</f>
        <v>0.20000000000000007</v>
      </c>
    </row>
    <row r="5" spans="1:13" ht="42" customHeight="1" x14ac:dyDescent="0.25">
      <c r="A5" s="5" t="s">
        <v>39</v>
      </c>
      <c r="B5" s="5" t="s">
        <v>40</v>
      </c>
      <c r="C5" s="5" t="s">
        <v>41</v>
      </c>
      <c r="D5" s="5" t="s">
        <v>15</v>
      </c>
      <c r="E5" s="5" t="s">
        <v>17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</row>
    <row r="6" spans="1:13" x14ac:dyDescent="0.25">
      <c r="A6" s="9" t="s">
        <v>50</v>
      </c>
      <c r="B6" s="9">
        <v>1</v>
      </c>
      <c r="C6" s="9" t="s">
        <v>24</v>
      </c>
      <c r="D6" s="9">
        <v>1</v>
      </c>
      <c r="E6" s="9">
        <f>SUMIFS(E7:E18,B7:B18,2)</f>
        <v>13</v>
      </c>
      <c r="F6" s="10">
        <f>SUMIFS(F7:F18,B7:B18,2)</f>
        <v>52</v>
      </c>
      <c r="G6" s="9">
        <f>ROUND(F6/$F$2,1)</f>
        <v>6.5</v>
      </c>
      <c r="H6" s="15">
        <f>$B$2+$D$2*(D6-1)</f>
        <v>46321</v>
      </c>
      <c r="I6" s="15">
        <f>H6+$D$2-1</f>
        <v>46334</v>
      </c>
      <c r="J6" s="9" t="s">
        <v>51</v>
      </c>
      <c r="K6" s="9"/>
      <c r="L6" s="9"/>
      <c r="M6" s="10"/>
    </row>
    <row r="7" spans="1:13" outlineLevel="1" x14ac:dyDescent="0.25">
      <c r="A7" s="16" t="s">
        <v>52</v>
      </c>
      <c r="B7" s="16">
        <v>2</v>
      </c>
      <c r="C7" s="17" t="s">
        <v>53</v>
      </c>
      <c r="D7" s="16">
        <v>1</v>
      </c>
      <c r="E7" s="17">
        <v>5</v>
      </c>
      <c r="F7" s="18">
        <f>SUM(F8:F10)</f>
        <v>20</v>
      </c>
      <c r="G7" s="16">
        <f>ROUND(F7/$F$2,1)</f>
        <v>2.5</v>
      </c>
      <c r="H7" s="19">
        <f>MIN(H8:H10)</f>
        <v>46321</v>
      </c>
      <c r="I7" s="19">
        <f>MAX(I8:I10)</f>
        <v>46323</v>
      </c>
      <c r="J7" s="17" t="s">
        <v>51</v>
      </c>
      <c r="K7" s="17" t="s">
        <v>54</v>
      </c>
      <c r="L7" s="17" t="s">
        <v>55</v>
      </c>
      <c r="M7" s="18"/>
    </row>
    <row r="8" spans="1:13" outlineLevel="2" x14ac:dyDescent="0.25">
      <c r="A8" s="6" t="s">
        <v>56</v>
      </c>
      <c r="B8" s="6">
        <v>3</v>
      </c>
      <c r="C8" s="20" t="s">
        <v>57</v>
      </c>
      <c r="D8" s="6">
        <v>1</v>
      </c>
      <c r="E8" s="6"/>
      <c r="F8" s="7">
        <f>$B$3*E7*$D$3</f>
        <v>4</v>
      </c>
      <c r="G8" s="6">
        <f>ROUND(F8/$F$2,2)</f>
        <v>0.5</v>
      </c>
      <c r="H8" s="8">
        <f>WORKDAY($H$6,INT(M8/$F$2))</f>
        <v>46321</v>
      </c>
      <c r="I8" s="8">
        <f>WORKDAY($H$6,INT((M8+F8)/$F$2-0.000001))</f>
        <v>46321</v>
      </c>
      <c r="J8" s="20" t="s">
        <v>51</v>
      </c>
      <c r="K8" s="6"/>
      <c r="L8" s="6"/>
      <c r="M8" s="7">
        <f>SUMIFS($F$6:$F7,$D$6:$D7,$D8,$B$6:$B7,3)</f>
        <v>0</v>
      </c>
    </row>
    <row r="9" spans="1:13" outlineLevel="2" x14ac:dyDescent="0.25">
      <c r="A9" s="6" t="s">
        <v>58</v>
      </c>
      <c r="B9" s="6">
        <v>3</v>
      </c>
      <c r="C9" s="20" t="s">
        <v>59</v>
      </c>
      <c r="D9" s="6">
        <v>1</v>
      </c>
      <c r="E9" s="6"/>
      <c r="F9" s="7">
        <f>$B$3*E7*$F$3</f>
        <v>12</v>
      </c>
      <c r="G9" s="6">
        <f>ROUND(F9/$F$2,2)</f>
        <v>1.5</v>
      </c>
      <c r="H9" s="8">
        <f>WORKDAY($H$6,INT(M9/$F$2))</f>
        <v>46321</v>
      </c>
      <c r="I9" s="8">
        <f>WORKDAY($H$6,INT((M9+F9)/$F$2-0.000001))</f>
        <v>46322</v>
      </c>
      <c r="J9" s="20" t="s">
        <v>51</v>
      </c>
      <c r="K9" s="6"/>
      <c r="L9" s="6"/>
      <c r="M9" s="7">
        <f>SUMIFS($F$6:$F8,$D$6:$D8,$D9,$B$6:$B8,3)</f>
        <v>4</v>
      </c>
    </row>
    <row r="10" spans="1:13" outlineLevel="2" x14ac:dyDescent="0.25">
      <c r="A10" s="6" t="s">
        <v>60</v>
      </c>
      <c r="B10" s="6">
        <v>3</v>
      </c>
      <c r="C10" s="20" t="s">
        <v>61</v>
      </c>
      <c r="D10" s="6">
        <v>1</v>
      </c>
      <c r="E10" s="6"/>
      <c r="F10" s="7">
        <f>$B$3*E7*$H$3</f>
        <v>4.0000000000000018</v>
      </c>
      <c r="G10" s="6">
        <f>ROUND(F10/$F$2,2)</f>
        <v>0.5</v>
      </c>
      <c r="H10" s="8">
        <f>WORKDAY($H$6,INT(M10/$F$2))</f>
        <v>46323</v>
      </c>
      <c r="I10" s="8">
        <f>WORKDAY($H$6,INT((M10+F10)/$F$2-0.000001))</f>
        <v>46323</v>
      </c>
      <c r="J10" s="20" t="s">
        <v>51</v>
      </c>
      <c r="K10" s="6"/>
      <c r="L10" s="6"/>
      <c r="M10" s="7">
        <f>SUMIFS($F$6:$F9,$D$6:$D9,$D10,$B$6:$B9,3)</f>
        <v>16</v>
      </c>
    </row>
    <row r="11" spans="1:13" outlineLevel="1" x14ac:dyDescent="0.25">
      <c r="A11" s="16" t="s">
        <v>62</v>
      </c>
      <c r="B11" s="16">
        <v>2</v>
      </c>
      <c r="C11" s="17" t="s">
        <v>63</v>
      </c>
      <c r="D11" s="16">
        <v>1</v>
      </c>
      <c r="E11" s="17">
        <v>5</v>
      </c>
      <c r="F11" s="18">
        <f>SUM(F12:F14)</f>
        <v>20</v>
      </c>
      <c r="G11" s="16">
        <f>ROUND(F11/$F$2,1)</f>
        <v>2.5</v>
      </c>
      <c r="H11" s="19">
        <f>MIN(H12:H14)</f>
        <v>46323</v>
      </c>
      <c r="I11" s="19">
        <f>MAX(I12:I14)</f>
        <v>46325</v>
      </c>
      <c r="J11" s="17" t="s">
        <v>51</v>
      </c>
      <c r="K11" s="17" t="s">
        <v>54</v>
      </c>
      <c r="L11" s="17" t="s">
        <v>64</v>
      </c>
      <c r="M11" s="18"/>
    </row>
    <row r="12" spans="1:13" outlineLevel="2" x14ac:dyDescent="0.25">
      <c r="A12" s="6" t="s">
        <v>65</v>
      </c>
      <c r="B12" s="6">
        <v>3</v>
      </c>
      <c r="C12" s="20" t="s">
        <v>66</v>
      </c>
      <c r="D12" s="6">
        <v>1</v>
      </c>
      <c r="E12" s="6"/>
      <c r="F12" s="7">
        <f>$B$3*E11*$D$3</f>
        <v>4</v>
      </c>
      <c r="G12" s="6">
        <f>ROUND(F12/$F$2,2)</f>
        <v>0.5</v>
      </c>
      <c r="H12" s="8">
        <f>WORKDAY($H$6,INT(M12/$F$2))</f>
        <v>46323</v>
      </c>
      <c r="I12" s="8">
        <f>WORKDAY($H$6,INT((M12+F12)/$F$2-0.000001))</f>
        <v>46323</v>
      </c>
      <c r="J12" s="20" t="s">
        <v>51</v>
      </c>
      <c r="K12" s="6"/>
      <c r="L12" s="6"/>
      <c r="M12" s="7">
        <f>SUMIFS($F$6:$F11,$D$6:$D11,$D12,$B$6:$B11,3)</f>
        <v>20</v>
      </c>
    </row>
    <row r="13" spans="1:13" outlineLevel="2" x14ac:dyDescent="0.25">
      <c r="A13" s="6" t="s">
        <v>67</v>
      </c>
      <c r="B13" s="6">
        <v>3</v>
      </c>
      <c r="C13" s="20" t="s">
        <v>68</v>
      </c>
      <c r="D13" s="6">
        <v>1</v>
      </c>
      <c r="E13" s="6"/>
      <c r="F13" s="7">
        <f>$B$3*E11*$F$3</f>
        <v>12</v>
      </c>
      <c r="G13" s="6">
        <f>ROUND(F13/$F$2,2)</f>
        <v>1.5</v>
      </c>
      <c r="H13" s="8">
        <f>WORKDAY($H$6,INT(M13/$F$2))</f>
        <v>46324</v>
      </c>
      <c r="I13" s="8">
        <f>WORKDAY($H$6,INT((M13+F13)/$F$2-0.000001))</f>
        <v>46325</v>
      </c>
      <c r="J13" s="20" t="s">
        <v>51</v>
      </c>
      <c r="K13" s="6"/>
      <c r="L13" s="6"/>
      <c r="M13" s="7">
        <f>SUMIFS($F$6:$F12,$D$6:$D12,$D13,$B$6:$B12,3)</f>
        <v>24</v>
      </c>
    </row>
    <row r="14" spans="1:13" outlineLevel="2" x14ac:dyDescent="0.25">
      <c r="A14" s="6" t="s">
        <v>69</v>
      </c>
      <c r="B14" s="6">
        <v>3</v>
      </c>
      <c r="C14" s="20" t="s">
        <v>70</v>
      </c>
      <c r="D14" s="6">
        <v>1</v>
      </c>
      <c r="E14" s="6"/>
      <c r="F14" s="7">
        <f>$B$3*E11*$H$3</f>
        <v>4.0000000000000018</v>
      </c>
      <c r="G14" s="6">
        <f>ROUND(F14/$F$2,2)</f>
        <v>0.5</v>
      </c>
      <c r="H14" s="8">
        <f>WORKDAY($H$6,INT(M14/$F$2))</f>
        <v>46325</v>
      </c>
      <c r="I14" s="8">
        <f>WORKDAY($H$6,INT((M14+F14)/$F$2-0.000001))</f>
        <v>46325</v>
      </c>
      <c r="J14" s="20" t="s">
        <v>51</v>
      </c>
      <c r="K14" s="6"/>
      <c r="L14" s="6"/>
      <c r="M14" s="7">
        <f>SUMIFS($F$6:$F13,$D$6:$D13,$D14,$B$6:$B13,3)</f>
        <v>36</v>
      </c>
    </row>
    <row r="15" spans="1:13" outlineLevel="1" x14ac:dyDescent="0.25">
      <c r="A15" s="16" t="s">
        <v>71</v>
      </c>
      <c r="B15" s="16">
        <v>2</v>
      </c>
      <c r="C15" s="17" t="s">
        <v>72</v>
      </c>
      <c r="D15" s="16">
        <v>1</v>
      </c>
      <c r="E15" s="17">
        <v>3</v>
      </c>
      <c r="F15" s="18">
        <f>SUM(F16:F18)</f>
        <v>12</v>
      </c>
      <c r="G15" s="16">
        <f>ROUND(F15/$F$2,1)</f>
        <v>1.5</v>
      </c>
      <c r="H15" s="19">
        <f>MIN(H16:H18)</f>
        <v>46328</v>
      </c>
      <c r="I15" s="19">
        <f>MAX(I16:I18)</f>
        <v>46329</v>
      </c>
      <c r="J15" s="17" t="s">
        <v>51</v>
      </c>
      <c r="K15" s="17" t="s">
        <v>54</v>
      </c>
      <c r="L15" s="17" t="s">
        <v>73</v>
      </c>
      <c r="M15" s="18"/>
    </row>
    <row r="16" spans="1:13" outlineLevel="2" x14ac:dyDescent="0.25">
      <c r="A16" s="6" t="s">
        <v>74</v>
      </c>
      <c r="B16" s="6">
        <v>3</v>
      </c>
      <c r="C16" s="20" t="s">
        <v>75</v>
      </c>
      <c r="D16" s="6">
        <v>1</v>
      </c>
      <c r="E16" s="6"/>
      <c r="F16" s="7">
        <f>$B$3*E15*$D$3</f>
        <v>2.4000000000000004</v>
      </c>
      <c r="G16" s="6">
        <f>ROUND(F16/$F$2,2)</f>
        <v>0.3</v>
      </c>
      <c r="H16" s="8">
        <f>WORKDAY($H$6,INT(M16/$F$2))</f>
        <v>46328</v>
      </c>
      <c r="I16" s="8">
        <f>WORKDAY($H$6,INT((M16+F16)/$F$2-0.000001))</f>
        <v>46328</v>
      </c>
      <c r="J16" s="20" t="s">
        <v>51</v>
      </c>
      <c r="K16" s="6"/>
      <c r="L16" s="6"/>
      <c r="M16" s="7">
        <f>SUMIFS($F$6:$F15,$D$6:$D15,$D16,$B$6:$B15,3)</f>
        <v>40</v>
      </c>
    </row>
    <row r="17" spans="1:13" outlineLevel="2" x14ac:dyDescent="0.25">
      <c r="A17" s="6" t="s">
        <v>76</v>
      </c>
      <c r="B17" s="6">
        <v>3</v>
      </c>
      <c r="C17" s="20" t="s">
        <v>77</v>
      </c>
      <c r="D17" s="6">
        <v>1</v>
      </c>
      <c r="E17" s="6"/>
      <c r="F17" s="7">
        <f>$B$3*E15*$F$3</f>
        <v>7.1999999999999993</v>
      </c>
      <c r="G17" s="6">
        <f>ROUND(F17/$F$2,2)</f>
        <v>0.9</v>
      </c>
      <c r="H17" s="8">
        <f>WORKDAY($H$6,INT(M17/$F$2))</f>
        <v>46328</v>
      </c>
      <c r="I17" s="8">
        <f>WORKDAY($H$6,INT((M17+F17)/$F$2-0.000001))</f>
        <v>46329</v>
      </c>
      <c r="J17" s="20" t="s">
        <v>51</v>
      </c>
      <c r="K17" s="6"/>
      <c r="L17" s="6"/>
      <c r="M17" s="7">
        <f>SUMIFS($F$6:$F16,$D$6:$D16,$D17,$B$6:$B16,3)</f>
        <v>42.4</v>
      </c>
    </row>
    <row r="18" spans="1:13" outlineLevel="2" x14ac:dyDescent="0.25">
      <c r="A18" s="6" t="s">
        <v>78</v>
      </c>
      <c r="B18" s="6">
        <v>3</v>
      </c>
      <c r="C18" s="20" t="s">
        <v>79</v>
      </c>
      <c r="D18" s="6">
        <v>1</v>
      </c>
      <c r="E18" s="6"/>
      <c r="F18" s="7">
        <f>$B$3*E15*$H$3</f>
        <v>2.4000000000000008</v>
      </c>
      <c r="G18" s="6">
        <f>ROUND(F18/$F$2,2)</f>
        <v>0.3</v>
      </c>
      <c r="H18" s="8">
        <f>WORKDAY($H$6,INT(M18/$F$2))</f>
        <v>46329</v>
      </c>
      <c r="I18" s="8">
        <f>WORKDAY($H$6,INT((M18+F18)/$F$2-0.000001))</f>
        <v>46329</v>
      </c>
      <c r="J18" s="20" t="s">
        <v>51</v>
      </c>
      <c r="K18" s="6"/>
      <c r="L18" s="6"/>
      <c r="M18" s="7">
        <f>SUMIFS($F$6:$F17,$D$6:$D17,$D18,$B$6:$B17,3)</f>
        <v>49.599999999999994</v>
      </c>
    </row>
    <row r="19" spans="1:13" x14ac:dyDescent="0.25">
      <c r="A19" s="9" t="s">
        <v>80</v>
      </c>
      <c r="B19" s="9">
        <v>1</v>
      </c>
      <c r="C19" s="9" t="s">
        <v>25</v>
      </c>
      <c r="D19" s="9">
        <v>2</v>
      </c>
      <c r="E19" s="9">
        <f>SUMIFS(E20:E39,B20:B39,2)</f>
        <v>19</v>
      </c>
      <c r="F19" s="10">
        <f>SUMIFS(F20:F39,B20:B39,2)</f>
        <v>76</v>
      </c>
      <c r="G19" s="9">
        <f>ROUND(F19/$F$2,1)</f>
        <v>9.5</v>
      </c>
      <c r="H19" s="15">
        <f>$B$2+$D$2*(D19-1)</f>
        <v>46335</v>
      </c>
      <c r="I19" s="15">
        <f>H19+$D$2-1</f>
        <v>46348</v>
      </c>
      <c r="J19" s="9" t="s">
        <v>51</v>
      </c>
      <c r="K19" s="9"/>
      <c r="L19" s="9"/>
      <c r="M19" s="10"/>
    </row>
    <row r="20" spans="1:13" outlineLevel="1" x14ac:dyDescent="0.25">
      <c r="A20" s="16" t="s">
        <v>81</v>
      </c>
      <c r="B20" s="16">
        <v>2</v>
      </c>
      <c r="C20" s="17" t="s">
        <v>82</v>
      </c>
      <c r="D20" s="16">
        <v>2</v>
      </c>
      <c r="E20" s="17">
        <v>5</v>
      </c>
      <c r="F20" s="18">
        <f>SUM(F21:F23)</f>
        <v>20</v>
      </c>
      <c r="G20" s="16">
        <f>ROUND(F20/$F$2,1)</f>
        <v>2.5</v>
      </c>
      <c r="H20" s="19">
        <f>MIN(H21:H23)</f>
        <v>46335</v>
      </c>
      <c r="I20" s="19">
        <f>MAX(I21:I23)</f>
        <v>46337</v>
      </c>
      <c r="J20" s="17" t="s">
        <v>51</v>
      </c>
      <c r="K20" s="17" t="s">
        <v>54</v>
      </c>
      <c r="L20" s="17" t="s">
        <v>83</v>
      </c>
      <c r="M20" s="18"/>
    </row>
    <row r="21" spans="1:13" outlineLevel="2" x14ac:dyDescent="0.25">
      <c r="A21" s="6" t="s">
        <v>84</v>
      </c>
      <c r="B21" s="6">
        <v>3</v>
      </c>
      <c r="C21" s="20" t="s">
        <v>85</v>
      </c>
      <c r="D21" s="6">
        <v>2</v>
      </c>
      <c r="E21" s="6"/>
      <c r="F21" s="7">
        <f>$B$3*E20*$D$3</f>
        <v>4</v>
      </c>
      <c r="G21" s="6">
        <f>ROUND(F21/$F$2,2)</f>
        <v>0.5</v>
      </c>
      <c r="H21" s="8">
        <f>WORKDAY($H$19,INT(M21/$F$2))</f>
        <v>46335</v>
      </c>
      <c r="I21" s="8">
        <f>WORKDAY($H$19,INT((M21+F21)/$F$2-0.000001))</f>
        <v>46335</v>
      </c>
      <c r="J21" s="20" t="s">
        <v>51</v>
      </c>
      <c r="K21" s="6"/>
      <c r="L21" s="6"/>
      <c r="M21" s="7">
        <f>SUMIFS($F$6:$F20,$D$6:$D20,$D21,$B$6:$B20,3)</f>
        <v>0</v>
      </c>
    </row>
    <row r="22" spans="1:13" outlineLevel="2" x14ac:dyDescent="0.25">
      <c r="A22" s="6" t="s">
        <v>86</v>
      </c>
      <c r="B22" s="6">
        <v>3</v>
      </c>
      <c r="C22" s="20" t="s">
        <v>87</v>
      </c>
      <c r="D22" s="6">
        <v>2</v>
      </c>
      <c r="E22" s="6"/>
      <c r="F22" s="7">
        <f>$B$3*E20*$F$3</f>
        <v>12</v>
      </c>
      <c r="G22" s="6">
        <f>ROUND(F22/$F$2,2)</f>
        <v>1.5</v>
      </c>
      <c r="H22" s="8">
        <f>WORKDAY($H$19,INT(M22/$F$2))</f>
        <v>46335</v>
      </c>
      <c r="I22" s="8">
        <f>WORKDAY($H$19,INT((M22+F22)/$F$2-0.000001))</f>
        <v>46336</v>
      </c>
      <c r="J22" s="20" t="s">
        <v>51</v>
      </c>
      <c r="K22" s="6"/>
      <c r="L22" s="6"/>
      <c r="M22" s="7">
        <f>SUMIFS($F$6:$F21,$D$6:$D21,$D22,$B$6:$B21,3)</f>
        <v>4</v>
      </c>
    </row>
    <row r="23" spans="1:13" outlineLevel="2" x14ac:dyDescent="0.25">
      <c r="A23" s="6" t="s">
        <v>88</v>
      </c>
      <c r="B23" s="6">
        <v>3</v>
      </c>
      <c r="C23" s="20" t="s">
        <v>89</v>
      </c>
      <c r="D23" s="6">
        <v>2</v>
      </c>
      <c r="E23" s="6"/>
      <c r="F23" s="7">
        <f>$B$3*E20*$H$3</f>
        <v>4.0000000000000018</v>
      </c>
      <c r="G23" s="6">
        <f>ROUND(F23/$F$2,2)</f>
        <v>0.5</v>
      </c>
      <c r="H23" s="8">
        <f>WORKDAY($H$19,INT(M23/$F$2))</f>
        <v>46337</v>
      </c>
      <c r="I23" s="8">
        <f>WORKDAY($H$19,INT((M23+F23)/$F$2-0.000001))</f>
        <v>46337</v>
      </c>
      <c r="J23" s="20" t="s">
        <v>51</v>
      </c>
      <c r="K23" s="6"/>
      <c r="L23" s="6"/>
      <c r="M23" s="7">
        <f>SUMIFS($F$6:$F22,$D$6:$D22,$D23,$B$6:$B22,3)</f>
        <v>16</v>
      </c>
    </row>
    <row r="24" spans="1:13" outlineLevel="1" x14ac:dyDescent="0.25">
      <c r="A24" s="16" t="s">
        <v>90</v>
      </c>
      <c r="B24" s="16">
        <v>2</v>
      </c>
      <c r="C24" s="17" t="s">
        <v>91</v>
      </c>
      <c r="D24" s="16">
        <v>2</v>
      </c>
      <c r="E24" s="17">
        <v>3</v>
      </c>
      <c r="F24" s="18">
        <f>SUM(F25:F27)</f>
        <v>12</v>
      </c>
      <c r="G24" s="16">
        <f>ROUND(F24/$F$2,1)</f>
        <v>1.5</v>
      </c>
      <c r="H24" s="19">
        <f>MIN(H25:H27)</f>
        <v>46337</v>
      </c>
      <c r="I24" s="19">
        <f>MAX(I25:I27)</f>
        <v>46338</v>
      </c>
      <c r="J24" s="17" t="s">
        <v>51</v>
      </c>
      <c r="K24" s="17" t="s">
        <v>54</v>
      </c>
      <c r="L24" s="17" t="s">
        <v>92</v>
      </c>
      <c r="M24" s="18"/>
    </row>
    <row r="25" spans="1:13" outlineLevel="2" x14ac:dyDescent="0.25">
      <c r="A25" s="6" t="s">
        <v>93</v>
      </c>
      <c r="B25" s="6">
        <v>3</v>
      </c>
      <c r="C25" s="20" t="s">
        <v>94</v>
      </c>
      <c r="D25" s="6">
        <v>2</v>
      </c>
      <c r="E25" s="6"/>
      <c r="F25" s="7">
        <f>$B$3*E24*$D$3</f>
        <v>2.4000000000000004</v>
      </c>
      <c r="G25" s="6">
        <f>ROUND(F25/$F$2,2)</f>
        <v>0.3</v>
      </c>
      <c r="H25" s="8">
        <f>WORKDAY($H$19,INT(M25/$F$2))</f>
        <v>46337</v>
      </c>
      <c r="I25" s="8">
        <f>WORKDAY($H$19,INT((M25+F25)/$F$2-0.000001))</f>
        <v>46337</v>
      </c>
      <c r="J25" s="20" t="s">
        <v>51</v>
      </c>
      <c r="K25" s="6"/>
      <c r="L25" s="6"/>
      <c r="M25" s="7">
        <f>SUMIFS($F$6:$F24,$D$6:$D24,$D25,$B$6:$B24,3)</f>
        <v>20</v>
      </c>
    </row>
    <row r="26" spans="1:13" outlineLevel="2" x14ac:dyDescent="0.25">
      <c r="A26" s="6" t="s">
        <v>95</v>
      </c>
      <c r="B26" s="6">
        <v>3</v>
      </c>
      <c r="C26" s="20" t="s">
        <v>96</v>
      </c>
      <c r="D26" s="6">
        <v>2</v>
      </c>
      <c r="E26" s="6"/>
      <c r="F26" s="7">
        <f>$B$3*E24*$F$3</f>
        <v>7.1999999999999993</v>
      </c>
      <c r="G26" s="6">
        <f>ROUND(F26/$F$2,2)</f>
        <v>0.9</v>
      </c>
      <c r="H26" s="8">
        <f>WORKDAY($H$19,INT(M26/$F$2))</f>
        <v>46337</v>
      </c>
      <c r="I26" s="8">
        <f>WORKDAY($H$19,INT((M26+F26)/$F$2-0.000001))</f>
        <v>46338</v>
      </c>
      <c r="J26" s="20" t="s">
        <v>51</v>
      </c>
      <c r="K26" s="6"/>
      <c r="L26" s="6"/>
      <c r="M26" s="7">
        <f>SUMIFS($F$6:$F25,$D$6:$D25,$D26,$B$6:$B25,3)</f>
        <v>22.4</v>
      </c>
    </row>
    <row r="27" spans="1:13" outlineLevel="2" x14ac:dyDescent="0.25">
      <c r="A27" s="6" t="s">
        <v>97</v>
      </c>
      <c r="B27" s="6">
        <v>3</v>
      </c>
      <c r="C27" s="20" t="s">
        <v>98</v>
      </c>
      <c r="D27" s="6">
        <v>2</v>
      </c>
      <c r="E27" s="6"/>
      <c r="F27" s="7">
        <f>$B$3*E24*$H$3</f>
        <v>2.4000000000000008</v>
      </c>
      <c r="G27" s="6">
        <f>ROUND(F27/$F$2,2)</f>
        <v>0.3</v>
      </c>
      <c r="H27" s="8">
        <f>WORKDAY($H$19,INT(M27/$F$2))</f>
        <v>46338</v>
      </c>
      <c r="I27" s="8">
        <f>WORKDAY($H$19,INT((M27+F27)/$F$2-0.000001))</f>
        <v>46338</v>
      </c>
      <c r="J27" s="20" t="s">
        <v>51</v>
      </c>
      <c r="K27" s="6"/>
      <c r="L27" s="6"/>
      <c r="M27" s="7">
        <f>SUMIFS($F$6:$F26,$D$6:$D26,$D27,$B$6:$B26,3)</f>
        <v>29.599999999999998</v>
      </c>
    </row>
    <row r="28" spans="1:13" outlineLevel="1" x14ac:dyDescent="0.25">
      <c r="A28" s="16" t="s">
        <v>99</v>
      </c>
      <c r="B28" s="16">
        <v>2</v>
      </c>
      <c r="C28" s="17" t="s">
        <v>100</v>
      </c>
      <c r="D28" s="16">
        <v>2</v>
      </c>
      <c r="E28" s="17">
        <v>3</v>
      </c>
      <c r="F28" s="18">
        <f>SUM(F29:F31)</f>
        <v>12</v>
      </c>
      <c r="G28" s="16">
        <f>ROUND(F28/$F$2,1)</f>
        <v>1.5</v>
      </c>
      <c r="H28" s="19">
        <f>MIN(H29:H31)</f>
        <v>46339</v>
      </c>
      <c r="I28" s="19">
        <f>MAX(I29:I31)</f>
        <v>46342</v>
      </c>
      <c r="J28" s="17" t="s">
        <v>51</v>
      </c>
      <c r="K28" s="17" t="s">
        <v>54</v>
      </c>
      <c r="L28" s="17" t="s">
        <v>101</v>
      </c>
      <c r="M28" s="18"/>
    </row>
    <row r="29" spans="1:13" outlineLevel="2" x14ac:dyDescent="0.25">
      <c r="A29" s="6" t="s">
        <v>102</v>
      </c>
      <c r="B29" s="6">
        <v>3</v>
      </c>
      <c r="C29" s="20" t="s">
        <v>103</v>
      </c>
      <c r="D29" s="6">
        <v>2</v>
      </c>
      <c r="E29" s="6"/>
      <c r="F29" s="7">
        <f>$B$3*E28*$D$3</f>
        <v>2.4000000000000004</v>
      </c>
      <c r="G29" s="6">
        <f>ROUND(F29/$F$2,2)</f>
        <v>0.3</v>
      </c>
      <c r="H29" s="8">
        <f>WORKDAY($H$19,INT(M29/$F$2))</f>
        <v>46339</v>
      </c>
      <c r="I29" s="8">
        <f>WORKDAY($H$19,INT((M29+F29)/$F$2-0.000001))</f>
        <v>46339</v>
      </c>
      <c r="J29" s="20" t="s">
        <v>51</v>
      </c>
      <c r="K29" s="6"/>
      <c r="L29" s="6"/>
      <c r="M29" s="7">
        <f>SUMIFS($F$6:$F28,$D$6:$D28,$D29,$B$6:$B28,3)</f>
        <v>32</v>
      </c>
    </row>
    <row r="30" spans="1:13" outlineLevel="2" x14ac:dyDescent="0.25">
      <c r="A30" s="6" t="s">
        <v>104</v>
      </c>
      <c r="B30" s="6">
        <v>3</v>
      </c>
      <c r="C30" s="20" t="s">
        <v>105</v>
      </c>
      <c r="D30" s="6">
        <v>2</v>
      </c>
      <c r="E30" s="6"/>
      <c r="F30" s="7">
        <f>$B$3*E28*$F$3</f>
        <v>7.1999999999999993</v>
      </c>
      <c r="G30" s="6">
        <f>ROUND(F30/$F$2,2)</f>
        <v>0.9</v>
      </c>
      <c r="H30" s="8">
        <f>WORKDAY($H$19,INT(M30/$F$2))</f>
        <v>46339</v>
      </c>
      <c r="I30" s="8">
        <f>WORKDAY($H$19,INT((M30+F30)/$F$2-0.000001))</f>
        <v>46342</v>
      </c>
      <c r="J30" s="20" t="s">
        <v>51</v>
      </c>
      <c r="K30" s="6"/>
      <c r="L30" s="6"/>
      <c r="M30" s="7">
        <f>SUMIFS($F$6:$F29,$D$6:$D29,$D30,$B$6:$B29,3)</f>
        <v>34.4</v>
      </c>
    </row>
    <row r="31" spans="1:13" outlineLevel="2" x14ac:dyDescent="0.25">
      <c r="A31" s="6" t="s">
        <v>106</v>
      </c>
      <c r="B31" s="6">
        <v>3</v>
      </c>
      <c r="C31" s="20" t="s">
        <v>107</v>
      </c>
      <c r="D31" s="6">
        <v>2</v>
      </c>
      <c r="E31" s="6"/>
      <c r="F31" s="7">
        <f>$B$3*E28*$H$3</f>
        <v>2.4000000000000008</v>
      </c>
      <c r="G31" s="6">
        <f>ROUND(F31/$F$2,2)</f>
        <v>0.3</v>
      </c>
      <c r="H31" s="8">
        <f>WORKDAY($H$19,INT(M31/$F$2))</f>
        <v>46342</v>
      </c>
      <c r="I31" s="8">
        <f>WORKDAY($H$19,INT((M31+F31)/$F$2-0.000001))</f>
        <v>46342</v>
      </c>
      <c r="J31" s="20" t="s">
        <v>51</v>
      </c>
      <c r="K31" s="6"/>
      <c r="L31" s="6"/>
      <c r="M31" s="7">
        <f>SUMIFS($F$6:$F30,$D$6:$D30,$D31,$B$6:$B30,3)</f>
        <v>41.599999999999994</v>
      </c>
    </row>
    <row r="32" spans="1:13" outlineLevel="1" x14ac:dyDescent="0.25">
      <c r="A32" s="16" t="s">
        <v>108</v>
      </c>
      <c r="B32" s="16">
        <v>2</v>
      </c>
      <c r="C32" s="17" t="s">
        <v>109</v>
      </c>
      <c r="D32" s="16">
        <v>2</v>
      </c>
      <c r="E32" s="17">
        <v>3</v>
      </c>
      <c r="F32" s="18">
        <f>SUM(F33:F35)</f>
        <v>12</v>
      </c>
      <c r="G32" s="16">
        <f>ROUND(F32/$F$2,1)</f>
        <v>1.5</v>
      </c>
      <c r="H32" s="19">
        <f>MIN(H33:H35)</f>
        <v>46342</v>
      </c>
      <c r="I32" s="19">
        <f>MAX(I33:I35)</f>
        <v>46343</v>
      </c>
      <c r="J32" s="17" t="s">
        <v>51</v>
      </c>
      <c r="K32" s="17" t="s">
        <v>54</v>
      </c>
      <c r="L32" s="17" t="s">
        <v>110</v>
      </c>
      <c r="M32" s="18"/>
    </row>
    <row r="33" spans="1:13" outlineLevel="2" x14ac:dyDescent="0.25">
      <c r="A33" s="6" t="s">
        <v>111</v>
      </c>
      <c r="B33" s="6">
        <v>3</v>
      </c>
      <c r="C33" s="20" t="s">
        <v>112</v>
      </c>
      <c r="D33" s="6">
        <v>2</v>
      </c>
      <c r="E33" s="6"/>
      <c r="F33" s="7">
        <f>$B$3*E32*$D$3</f>
        <v>2.4000000000000004</v>
      </c>
      <c r="G33" s="6">
        <f>ROUND(F33/$F$2,2)</f>
        <v>0.3</v>
      </c>
      <c r="H33" s="8">
        <f>WORKDAY($H$19,INT(M33/$F$2))</f>
        <v>46342</v>
      </c>
      <c r="I33" s="8">
        <f>WORKDAY($H$19,INT((M33+F33)/$F$2-0.000001))</f>
        <v>46342</v>
      </c>
      <c r="J33" s="20" t="s">
        <v>51</v>
      </c>
      <c r="K33" s="6"/>
      <c r="L33" s="6"/>
      <c r="M33" s="7">
        <f>SUMIFS($F$6:$F32,$D$6:$D32,$D33,$B$6:$B32,3)</f>
        <v>43.999999999999993</v>
      </c>
    </row>
    <row r="34" spans="1:13" outlineLevel="2" x14ac:dyDescent="0.25">
      <c r="A34" s="6" t="s">
        <v>113</v>
      </c>
      <c r="B34" s="6">
        <v>3</v>
      </c>
      <c r="C34" s="20" t="s">
        <v>114</v>
      </c>
      <c r="D34" s="6">
        <v>2</v>
      </c>
      <c r="E34" s="6"/>
      <c r="F34" s="7">
        <f>$B$3*E32*$F$3</f>
        <v>7.1999999999999993</v>
      </c>
      <c r="G34" s="6">
        <f>ROUND(F34/$F$2,2)</f>
        <v>0.9</v>
      </c>
      <c r="H34" s="8">
        <f>WORKDAY($H$19,INT(M34/$F$2))</f>
        <v>46342</v>
      </c>
      <c r="I34" s="8">
        <f>WORKDAY($H$19,INT((M34+F34)/$F$2-0.000001))</f>
        <v>46343</v>
      </c>
      <c r="J34" s="20" t="s">
        <v>51</v>
      </c>
      <c r="K34" s="6"/>
      <c r="L34" s="6"/>
      <c r="M34" s="7">
        <f>SUMIFS($F$6:$F33,$D$6:$D33,$D34,$B$6:$B33,3)</f>
        <v>46.399999999999991</v>
      </c>
    </row>
    <row r="35" spans="1:13" outlineLevel="2" x14ac:dyDescent="0.25">
      <c r="A35" s="6" t="s">
        <v>115</v>
      </c>
      <c r="B35" s="6">
        <v>3</v>
      </c>
      <c r="C35" s="20" t="s">
        <v>116</v>
      </c>
      <c r="D35" s="6">
        <v>2</v>
      </c>
      <c r="E35" s="6"/>
      <c r="F35" s="7">
        <f>$B$3*E32*$H$3</f>
        <v>2.4000000000000008</v>
      </c>
      <c r="G35" s="6">
        <f>ROUND(F35/$F$2,2)</f>
        <v>0.3</v>
      </c>
      <c r="H35" s="8">
        <f>WORKDAY($H$19,INT(M35/$F$2))</f>
        <v>46343</v>
      </c>
      <c r="I35" s="8">
        <f>WORKDAY($H$19,INT((M35+F35)/$F$2-0.000001))</f>
        <v>46343</v>
      </c>
      <c r="J35" s="20" t="s">
        <v>51</v>
      </c>
      <c r="K35" s="6"/>
      <c r="L35" s="6"/>
      <c r="M35" s="7">
        <f>SUMIFS($F$6:$F34,$D$6:$D34,$D35,$B$6:$B34,3)</f>
        <v>53.599999999999994</v>
      </c>
    </row>
    <row r="36" spans="1:13" outlineLevel="1" x14ac:dyDescent="0.25">
      <c r="A36" s="16" t="s">
        <v>117</v>
      </c>
      <c r="B36" s="16">
        <v>2</v>
      </c>
      <c r="C36" s="17" t="s">
        <v>118</v>
      </c>
      <c r="D36" s="16">
        <v>2</v>
      </c>
      <c r="E36" s="17">
        <v>5</v>
      </c>
      <c r="F36" s="18">
        <f>SUM(F37:F39)</f>
        <v>20</v>
      </c>
      <c r="G36" s="16">
        <f>ROUND(F36/$F$2,1)</f>
        <v>2.5</v>
      </c>
      <c r="H36" s="19">
        <f>MIN(H37:H39)</f>
        <v>46344</v>
      </c>
      <c r="I36" s="19">
        <f>MAX(I37:I39)</f>
        <v>46346</v>
      </c>
      <c r="J36" s="17" t="s">
        <v>51</v>
      </c>
      <c r="K36" s="17" t="s">
        <v>54</v>
      </c>
      <c r="L36" s="17" t="s">
        <v>119</v>
      </c>
      <c r="M36" s="18"/>
    </row>
    <row r="37" spans="1:13" outlineLevel="2" x14ac:dyDescent="0.25">
      <c r="A37" s="6" t="s">
        <v>120</v>
      </c>
      <c r="B37" s="6">
        <v>3</v>
      </c>
      <c r="C37" s="20" t="s">
        <v>121</v>
      </c>
      <c r="D37" s="6">
        <v>2</v>
      </c>
      <c r="E37" s="6"/>
      <c r="F37" s="7">
        <f>$B$3*E36*$D$3</f>
        <v>4</v>
      </c>
      <c r="G37" s="6">
        <f>ROUND(F37/$F$2,2)</f>
        <v>0.5</v>
      </c>
      <c r="H37" s="8">
        <f>WORKDAY($H$19,INT(M37/$F$2))</f>
        <v>46344</v>
      </c>
      <c r="I37" s="8">
        <f>WORKDAY($H$19,INT((M37+F37)/$F$2-0.000001))</f>
        <v>46344</v>
      </c>
      <c r="J37" s="20" t="s">
        <v>51</v>
      </c>
      <c r="K37" s="6"/>
      <c r="L37" s="6"/>
      <c r="M37" s="7">
        <f>SUMIFS($F$6:$F36,$D$6:$D36,$D37,$B$6:$B36,3)</f>
        <v>55.999999999999993</v>
      </c>
    </row>
    <row r="38" spans="1:13" outlineLevel="2" x14ac:dyDescent="0.25">
      <c r="A38" s="6" t="s">
        <v>122</v>
      </c>
      <c r="B38" s="6">
        <v>3</v>
      </c>
      <c r="C38" s="20" t="s">
        <v>123</v>
      </c>
      <c r="D38" s="6">
        <v>2</v>
      </c>
      <c r="E38" s="6"/>
      <c r="F38" s="7">
        <f>$B$3*E36*$F$3</f>
        <v>12</v>
      </c>
      <c r="G38" s="6">
        <f>ROUND(F38/$F$2,2)</f>
        <v>1.5</v>
      </c>
      <c r="H38" s="8">
        <f>WORKDAY($H$19,INT(M38/$F$2))</f>
        <v>46344</v>
      </c>
      <c r="I38" s="8">
        <f>WORKDAY($H$19,INT((M38+F38)/$F$2-0.000001))</f>
        <v>46345</v>
      </c>
      <c r="J38" s="20" t="s">
        <v>51</v>
      </c>
      <c r="K38" s="6"/>
      <c r="L38" s="6"/>
      <c r="M38" s="7">
        <f>SUMIFS($F$6:$F37,$D$6:$D37,$D38,$B$6:$B37,3)</f>
        <v>59.999999999999993</v>
      </c>
    </row>
    <row r="39" spans="1:13" outlineLevel="2" x14ac:dyDescent="0.25">
      <c r="A39" s="6" t="s">
        <v>124</v>
      </c>
      <c r="B39" s="6">
        <v>3</v>
      </c>
      <c r="C39" s="20" t="s">
        <v>125</v>
      </c>
      <c r="D39" s="6">
        <v>2</v>
      </c>
      <c r="E39" s="6"/>
      <c r="F39" s="7">
        <f>$B$3*E36*$H$3</f>
        <v>4.0000000000000018</v>
      </c>
      <c r="G39" s="6">
        <f>ROUND(F39/$F$2,2)</f>
        <v>0.5</v>
      </c>
      <c r="H39" s="8">
        <f>WORKDAY($H$19,INT(M39/$F$2))</f>
        <v>46346</v>
      </c>
      <c r="I39" s="8">
        <f>WORKDAY($H$19,INT((M39+F39)/$F$2-0.000001))</f>
        <v>46346</v>
      </c>
      <c r="J39" s="20" t="s">
        <v>51</v>
      </c>
      <c r="K39" s="6"/>
      <c r="L39" s="6"/>
      <c r="M39" s="7">
        <f>SUMIFS($F$6:$F38,$D$6:$D38,$D39,$B$6:$B38,3)</f>
        <v>72</v>
      </c>
    </row>
    <row r="40" spans="1:13" x14ac:dyDescent="0.25">
      <c r="A40" s="9" t="s">
        <v>126</v>
      </c>
      <c r="B40" s="9">
        <v>1</v>
      </c>
      <c r="C40" s="9" t="s">
        <v>26</v>
      </c>
      <c r="D40" s="9">
        <v>3</v>
      </c>
      <c r="E40" s="9">
        <f>SUMIFS(E41:E64,B41:B64,2)</f>
        <v>20</v>
      </c>
      <c r="F40" s="10">
        <f>SUMIFS(F41:F64,B41:B64,2)</f>
        <v>80</v>
      </c>
      <c r="G40" s="9">
        <f>ROUND(F40/$F$2,1)</f>
        <v>10</v>
      </c>
      <c r="H40" s="15">
        <f>$B$2+$D$2*(D40-1)</f>
        <v>46349</v>
      </c>
      <c r="I40" s="15">
        <f>H40+$D$2-1</f>
        <v>46362</v>
      </c>
      <c r="J40" s="9" t="s">
        <v>51</v>
      </c>
      <c r="K40" s="9"/>
      <c r="L40" s="9"/>
      <c r="M40" s="10"/>
    </row>
    <row r="41" spans="1:13" outlineLevel="1" x14ac:dyDescent="0.25">
      <c r="A41" s="16" t="s">
        <v>127</v>
      </c>
      <c r="B41" s="16">
        <v>2</v>
      </c>
      <c r="C41" s="17" t="s">
        <v>128</v>
      </c>
      <c r="D41" s="16">
        <v>3</v>
      </c>
      <c r="E41" s="17">
        <v>3</v>
      </c>
      <c r="F41" s="18">
        <f>SUM(F42:F44)</f>
        <v>12</v>
      </c>
      <c r="G41" s="16">
        <f>ROUND(F41/$F$2,1)</f>
        <v>1.5</v>
      </c>
      <c r="H41" s="19">
        <f>MIN(H42:H44)</f>
        <v>46349</v>
      </c>
      <c r="I41" s="19">
        <f>MAX(I42:I44)</f>
        <v>46350</v>
      </c>
      <c r="J41" s="17" t="s">
        <v>51</v>
      </c>
      <c r="K41" s="17" t="s">
        <v>129</v>
      </c>
      <c r="L41" s="17" t="s">
        <v>130</v>
      </c>
      <c r="M41" s="18"/>
    </row>
    <row r="42" spans="1:13" outlineLevel="2" x14ac:dyDescent="0.25">
      <c r="A42" s="6" t="s">
        <v>131</v>
      </c>
      <c r="B42" s="6">
        <v>3</v>
      </c>
      <c r="C42" s="20" t="s">
        <v>132</v>
      </c>
      <c r="D42" s="6">
        <v>3</v>
      </c>
      <c r="E42" s="6"/>
      <c r="F42" s="7">
        <f>$B$3*E41*$D$3</f>
        <v>2.4000000000000004</v>
      </c>
      <c r="G42" s="6">
        <f>ROUND(F42/$F$2,2)</f>
        <v>0.3</v>
      </c>
      <c r="H42" s="8">
        <f>WORKDAY($H$40,INT(M42/$F$2))</f>
        <v>46349</v>
      </c>
      <c r="I42" s="8">
        <f>WORKDAY($H$40,INT((M42+F42)/$F$2-0.000001))</f>
        <v>46349</v>
      </c>
      <c r="J42" s="20" t="s">
        <v>51</v>
      </c>
      <c r="K42" s="6"/>
      <c r="L42" s="6"/>
      <c r="M42" s="7">
        <f>SUMIFS($F$6:$F41,$D$6:$D41,$D42,$B$6:$B41,3)</f>
        <v>0</v>
      </c>
    </row>
    <row r="43" spans="1:13" outlineLevel="2" x14ac:dyDescent="0.25">
      <c r="A43" s="6" t="s">
        <v>133</v>
      </c>
      <c r="B43" s="6">
        <v>3</v>
      </c>
      <c r="C43" s="20" t="s">
        <v>134</v>
      </c>
      <c r="D43" s="6">
        <v>3</v>
      </c>
      <c r="E43" s="6"/>
      <c r="F43" s="7">
        <f>$B$3*E41*$F$3</f>
        <v>7.1999999999999993</v>
      </c>
      <c r="G43" s="6">
        <f>ROUND(F43/$F$2,2)</f>
        <v>0.9</v>
      </c>
      <c r="H43" s="8">
        <f>WORKDAY($H$40,INT(M43/$F$2))</f>
        <v>46349</v>
      </c>
      <c r="I43" s="8">
        <f>WORKDAY($H$40,INT((M43+F43)/$F$2-0.000001))</f>
        <v>46350</v>
      </c>
      <c r="J43" s="20" t="s">
        <v>51</v>
      </c>
      <c r="K43" s="6"/>
      <c r="L43" s="6"/>
      <c r="M43" s="7">
        <f>SUMIFS($F$6:$F42,$D$6:$D42,$D43,$B$6:$B42,3)</f>
        <v>2.4000000000000004</v>
      </c>
    </row>
    <row r="44" spans="1:13" outlineLevel="2" x14ac:dyDescent="0.25">
      <c r="A44" s="6" t="s">
        <v>135</v>
      </c>
      <c r="B44" s="6">
        <v>3</v>
      </c>
      <c r="C44" s="20" t="s">
        <v>136</v>
      </c>
      <c r="D44" s="6">
        <v>3</v>
      </c>
      <c r="E44" s="6"/>
      <c r="F44" s="7">
        <f>$B$3*E41*$H$3</f>
        <v>2.4000000000000008</v>
      </c>
      <c r="G44" s="6">
        <f>ROUND(F44/$F$2,2)</f>
        <v>0.3</v>
      </c>
      <c r="H44" s="8">
        <f>WORKDAY($H$40,INT(M44/$F$2))</f>
        <v>46350</v>
      </c>
      <c r="I44" s="8">
        <f>WORKDAY($H$40,INT((M44+F44)/$F$2-0.000001))</f>
        <v>46350</v>
      </c>
      <c r="J44" s="20" t="s">
        <v>51</v>
      </c>
      <c r="K44" s="6"/>
      <c r="L44" s="6"/>
      <c r="M44" s="7">
        <f>SUMIFS($F$6:$F43,$D$6:$D43,$D44,$B$6:$B43,3)</f>
        <v>9.6</v>
      </c>
    </row>
    <row r="45" spans="1:13" outlineLevel="1" x14ac:dyDescent="0.25">
      <c r="A45" s="16" t="s">
        <v>137</v>
      </c>
      <c r="B45" s="16">
        <v>2</v>
      </c>
      <c r="C45" s="17" t="s">
        <v>138</v>
      </c>
      <c r="D45" s="16">
        <v>3</v>
      </c>
      <c r="E45" s="17">
        <v>3</v>
      </c>
      <c r="F45" s="18">
        <f>SUM(F46:F48)</f>
        <v>12</v>
      </c>
      <c r="G45" s="16">
        <f>ROUND(F45/$F$2,1)</f>
        <v>1.5</v>
      </c>
      <c r="H45" s="19">
        <f>MIN(H46:H48)</f>
        <v>46350</v>
      </c>
      <c r="I45" s="19">
        <f>MAX(I46:I48)</f>
        <v>46351</v>
      </c>
      <c r="J45" s="17" t="s">
        <v>51</v>
      </c>
      <c r="K45" s="17" t="s">
        <v>54</v>
      </c>
      <c r="L45" s="17" t="s">
        <v>139</v>
      </c>
      <c r="M45" s="18"/>
    </row>
    <row r="46" spans="1:13" outlineLevel="2" x14ac:dyDescent="0.25">
      <c r="A46" s="6" t="s">
        <v>140</v>
      </c>
      <c r="B46" s="6">
        <v>3</v>
      </c>
      <c r="C46" s="20" t="s">
        <v>141</v>
      </c>
      <c r="D46" s="6">
        <v>3</v>
      </c>
      <c r="E46" s="6"/>
      <c r="F46" s="7">
        <f>$B$3*E45*$D$3</f>
        <v>2.4000000000000004</v>
      </c>
      <c r="G46" s="6">
        <f>ROUND(F46/$F$2,2)</f>
        <v>0.3</v>
      </c>
      <c r="H46" s="8">
        <f>WORKDAY($H$40,INT(M46/$F$2))</f>
        <v>46350</v>
      </c>
      <c r="I46" s="8">
        <f>WORKDAY($H$40,INT((M46+F46)/$F$2-0.000001))</f>
        <v>46350</v>
      </c>
      <c r="J46" s="20" t="s">
        <v>51</v>
      </c>
      <c r="K46" s="6"/>
      <c r="L46" s="6"/>
      <c r="M46" s="7">
        <f>SUMIFS($F$6:$F45,$D$6:$D45,$D46,$B$6:$B45,3)</f>
        <v>12</v>
      </c>
    </row>
    <row r="47" spans="1:13" outlineLevel="2" x14ac:dyDescent="0.25">
      <c r="A47" s="6" t="s">
        <v>142</v>
      </c>
      <c r="B47" s="6">
        <v>3</v>
      </c>
      <c r="C47" s="20" t="s">
        <v>143</v>
      </c>
      <c r="D47" s="6">
        <v>3</v>
      </c>
      <c r="E47" s="6"/>
      <c r="F47" s="7">
        <f>$B$3*E45*$F$3</f>
        <v>7.1999999999999993</v>
      </c>
      <c r="G47" s="6">
        <f>ROUND(F47/$F$2,2)</f>
        <v>0.9</v>
      </c>
      <c r="H47" s="8">
        <f>WORKDAY($H$40,INT(M47/$F$2))</f>
        <v>46350</v>
      </c>
      <c r="I47" s="8">
        <f>WORKDAY($H$40,INT((M47+F47)/$F$2-0.000001))</f>
        <v>46351</v>
      </c>
      <c r="J47" s="20" t="s">
        <v>51</v>
      </c>
      <c r="K47" s="6"/>
      <c r="L47" s="6"/>
      <c r="M47" s="7">
        <f>SUMIFS($F$6:$F46,$D$6:$D46,$D47,$B$6:$B46,3)</f>
        <v>14.4</v>
      </c>
    </row>
    <row r="48" spans="1:13" outlineLevel="2" x14ac:dyDescent="0.25">
      <c r="A48" s="6" t="s">
        <v>144</v>
      </c>
      <c r="B48" s="6">
        <v>3</v>
      </c>
      <c r="C48" s="20" t="s">
        <v>145</v>
      </c>
      <c r="D48" s="6">
        <v>3</v>
      </c>
      <c r="E48" s="6"/>
      <c r="F48" s="7">
        <f>$B$3*E45*$H$3</f>
        <v>2.4000000000000008</v>
      </c>
      <c r="G48" s="6">
        <f>ROUND(F48/$F$2,2)</f>
        <v>0.3</v>
      </c>
      <c r="H48" s="8">
        <f>WORKDAY($H$40,INT(M48/$F$2))</f>
        <v>46351</v>
      </c>
      <c r="I48" s="8">
        <f>WORKDAY($H$40,INT((M48+F48)/$F$2-0.000001))</f>
        <v>46351</v>
      </c>
      <c r="J48" s="20" t="s">
        <v>51</v>
      </c>
      <c r="K48" s="6"/>
      <c r="L48" s="6"/>
      <c r="M48" s="7">
        <f>SUMIFS($F$6:$F47,$D$6:$D47,$D48,$B$6:$B47,3)</f>
        <v>21.6</v>
      </c>
    </row>
    <row r="49" spans="1:13" outlineLevel="1" x14ac:dyDescent="0.25">
      <c r="A49" s="16" t="s">
        <v>146</v>
      </c>
      <c r="B49" s="16">
        <v>2</v>
      </c>
      <c r="C49" s="17" t="s">
        <v>147</v>
      </c>
      <c r="D49" s="16">
        <v>3</v>
      </c>
      <c r="E49" s="17">
        <v>3</v>
      </c>
      <c r="F49" s="18">
        <f>SUM(F50:F52)</f>
        <v>12</v>
      </c>
      <c r="G49" s="16">
        <f>ROUND(F49/$F$2,1)</f>
        <v>1.5</v>
      </c>
      <c r="H49" s="19">
        <f>MIN(H50:H52)</f>
        <v>46352</v>
      </c>
      <c r="I49" s="19">
        <f>MAX(I50:I52)</f>
        <v>46353</v>
      </c>
      <c r="J49" s="17" t="s">
        <v>51</v>
      </c>
      <c r="K49" s="17" t="s">
        <v>54</v>
      </c>
      <c r="L49" s="17" t="s">
        <v>148</v>
      </c>
      <c r="M49" s="18"/>
    </row>
    <row r="50" spans="1:13" outlineLevel="2" x14ac:dyDescent="0.25">
      <c r="A50" s="6" t="s">
        <v>149</v>
      </c>
      <c r="B50" s="6">
        <v>3</v>
      </c>
      <c r="C50" s="20" t="s">
        <v>150</v>
      </c>
      <c r="D50" s="6">
        <v>3</v>
      </c>
      <c r="E50" s="6"/>
      <c r="F50" s="7">
        <f>$B$3*E49*$D$3</f>
        <v>2.4000000000000004</v>
      </c>
      <c r="G50" s="6">
        <f>ROUND(F50/$F$2,2)</f>
        <v>0.3</v>
      </c>
      <c r="H50" s="8">
        <f>WORKDAY($H$40,INT(M50/$F$2))</f>
        <v>46352</v>
      </c>
      <c r="I50" s="8">
        <f>WORKDAY($H$40,INT((M50+F50)/$F$2-0.000001))</f>
        <v>46352</v>
      </c>
      <c r="J50" s="20" t="s">
        <v>51</v>
      </c>
      <c r="K50" s="6"/>
      <c r="L50" s="6"/>
      <c r="M50" s="7">
        <f>SUMIFS($F$6:$F49,$D$6:$D49,$D50,$B$6:$B49,3)</f>
        <v>24.000000000000004</v>
      </c>
    </row>
    <row r="51" spans="1:13" outlineLevel="2" x14ac:dyDescent="0.25">
      <c r="A51" s="6" t="s">
        <v>151</v>
      </c>
      <c r="B51" s="6">
        <v>3</v>
      </c>
      <c r="C51" s="20" t="s">
        <v>152</v>
      </c>
      <c r="D51" s="6">
        <v>3</v>
      </c>
      <c r="E51" s="6"/>
      <c r="F51" s="7">
        <f>$B$3*E49*$F$3</f>
        <v>7.1999999999999993</v>
      </c>
      <c r="G51" s="6">
        <f>ROUND(F51/$F$2,2)</f>
        <v>0.9</v>
      </c>
      <c r="H51" s="8">
        <f>WORKDAY($H$40,INT(M51/$F$2))</f>
        <v>46352</v>
      </c>
      <c r="I51" s="8">
        <f>WORKDAY($H$40,INT((M51+F51)/$F$2-0.000001))</f>
        <v>46353</v>
      </c>
      <c r="J51" s="20" t="s">
        <v>51</v>
      </c>
      <c r="K51" s="6"/>
      <c r="L51" s="6"/>
      <c r="M51" s="7">
        <f>SUMIFS($F$6:$F50,$D$6:$D50,$D51,$B$6:$B50,3)</f>
        <v>26.400000000000006</v>
      </c>
    </row>
    <row r="52" spans="1:13" outlineLevel="2" x14ac:dyDescent="0.25">
      <c r="A52" s="6" t="s">
        <v>153</v>
      </c>
      <c r="B52" s="6">
        <v>3</v>
      </c>
      <c r="C52" s="20" t="s">
        <v>154</v>
      </c>
      <c r="D52" s="6">
        <v>3</v>
      </c>
      <c r="E52" s="6"/>
      <c r="F52" s="7">
        <f>$B$3*E49*$H$3</f>
        <v>2.4000000000000008</v>
      </c>
      <c r="G52" s="6">
        <f>ROUND(F52/$F$2,2)</f>
        <v>0.3</v>
      </c>
      <c r="H52" s="8">
        <f>WORKDAY($H$40,INT(M52/$F$2))</f>
        <v>46353</v>
      </c>
      <c r="I52" s="8">
        <f>WORKDAY($H$40,INT((M52+F52)/$F$2-0.000001))</f>
        <v>46353</v>
      </c>
      <c r="J52" s="20" t="s">
        <v>51</v>
      </c>
      <c r="K52" s="6"/>
      <c r="L52" s="6"/>
      <c r="M52" s="7">
        <f>SUMIFS($F$6:$F51,$D$6:$D51,$D52,$B$6:$B51,3)</f>
        <v>33.600000000000009</v>
      </c>
    </row>
    <row r="53" spans="1:13" outlineLevel="1" x14ac:dyDescent="0.25">
      <c r="A53" s="16" t="s">
        <v>155</v>
      </c>
      <c r="B53" s="16">
        <v>2</v>
      </c>
      <c r="C53" s="17" t="s">
        <v>156</v>
      </c>
      <c r="D53" s="16">
        <v>3</v>
      </c>
      <c r="E53" s="17">
        <v>3</v>
      </c>
      <c r="F53" s="18">
        <f>SUM(F54:F56)</f>
        <v>12</v>
      </c>
      <c r="G53" s="16">
        <f>ROUND(F53/$F$2,1)</f>
        <v>1.5</v>
      </c>
      <c r="H53" s="19">
        <f>MIN(H54:H56)</f>
        <v>46353</v>
      </c>
      <c r="I53" s="19">
        <f>MAX(I54:I56)</f>
        <v>46356</v>
      </c>
      <c r="J53" s="17" t="s">
        <v>51</v>
      </c>
      <c r="K53" s="17" t="s">
        <v>54</v>
      </c>
      <c r="L53" s="17" t="s">
        <v>157</v>
      </c>
      <c r="M53" s="18"/>
    </row>
    <row r="54" spans="1:13" outlineLevel="2" x14ac:dyDescent="0.25">
      <c r="A54" s="6" t="s">
        <v>158</v>
      </c>
      <c r="B54" s="6">
        <v>3</v>
      </c>
      <c r="C54" s="20" t="s">
        <v>159</v>
      </c>
      <c r="D54" s="6">
        <v>3</v>
      </c>
      <c r="E54" s="6"/>
      <c r="F54" s="7">
        <f>$B$3*E53*$D$3</f>
        <v>2.4000000000000004</v>
      </c>
      <c r="G54" s="6">
        <f>ROUND(F54/$F$2,2)</f>
        <v>0.3</v>
      </c>
      <c r="H54" s="8">
        <f>WORKDAY($H$40,INT(M54/$F$2))</f>
        <v>46353</v>
      </c>
      <c r="I54" s="8">
        <f>WORKDAY($H$40,INT((M54+F54)/$F$2-0.000001))</f>
        <v>46353</v>
      </c>
      <c r="J54" s="20" t="s">
        <v>51</v>
      </c>
      <c r="K54" s="6"/>
      <c r="L54" s="6"/>
      <c r="M54" s="7">
        <f>SUMIFS($F$6:$F53,$D$6:$D53,$D54,$B$6:$B53,3)</f>
        <v>36.000000000000007</v>
      </c>
    </row>
    <row r="55" spans="1:13" outlineLevel="2" x14ac:dyDescent="0.25">
      <c r="A55" s="6" t="s">
        <v>160</v>
      </c>
      <c r="B55" s="6">
        <v>3</v>
      </c>
      <c r="C55" s="20" t="s">
        <v>161</v>
      </c>
      <c r="D55" s="6">
        <v>3</v>
      </c>
      <c r="E55" s="6"/>
      <c r="F55" s="7">
        <f>$B$3*E53*$F$3</f>
        <v>7.1999999999999993</v>
      </c>
      <c r="G55" s="6">
        <f>ROUND(F55/$F$2,2)</f>
        <v>0.9</v>
      </c>
      <c r="H55" s="8">
        <f>WORKDAY($H$40,INT(M55/$F$2))</f>
        <v>46353</v>
      </c>
      <c r="I55" s="8">
        <f>WORKDAY($H$40,INT((M55+F55)/$F$2-0.000001))</f>
        <v>46356</v>
      </c>
      <c r="J55" s="20" t="s">
        <v>51</v>
      </c>
      <c r="K55" s="6"/>
      <c r="L55" s="6"/>
      <c r="M55" s="7">
        <f>SUMIFS($F$6:$F54,$D$6:$D54,$D55,$B$6:$B54,3)</f>
        <v>38.400000000000006</v>
      </c>
    </row>
    <row r="56" spans="1:13" outlineLevel="2" x14ac:dyDescent="0.25">
      <c r="A56" s="6" t="s">
        <v>162</v>
      </c>
      <c r="B56" s="6">
        <v>3</v>
      </c>
      <c r="C56" s="20" t="s">
        <v>163</v>
      </c>
      <c r="D56" s="6">
        <v>3</v>
      </c>
      <c r="E56" s="6"/>
      <c r="F56" s="7">
        <f>$B$3*E53*$H$3</f>
        <v>2.4000000000000008</v>
      </c>
      <c r="G56" s="6">
        <f>ROUND(F56/$F$2,2)</f>
        <v>0.3</v>
      </c>
      <c r="H56" s="8">
        <f>WORKDAY($H$40,INT(M56/$F$2))</f>
        <v>46356</v>
      </c>
      <c r="I56" s="8">
        <f>WORKDAY($H$40,INT((M56+F56)/$F$2-0.000001))</f>
        <v>46356</v>
      </c>
      <c r="J56" s="20" t="s">
        <v>51</v>
      </c>
      <c r="K56" s="6"/>
      <c r="L56" s="6"/>
      <c r="M56" s="7">
        <f>SUMIFS($F$6:$F55,$D$6:$D55,$D56,$B$6:$B55,3)</f>
        <v>45.600000000000009</v>
      </c>
    </row>
    <row r="57" spans="1:13" outlineLevel="1" x14ac:dyDescent="0.25">
      <c r="A57" s="16" t="s">
        <v>164</v>
      </c>
      <c r="B57" s="16">
        <v>2</v>
      </c>
      <c r="C57" s="17" t="s">
        <v>165</v>
      </c>
      <c r="D57" s="16">
        <v>3</v>
      </c>
      <c r="E57" s="17">
        <v>3</v>
      </c>
      <c r="F57" s="18">
        <f>SUM(F58:F60)</f>
        <v>12</v>
      </c>
      <c r="G57" s="16">
        <f>ROUND(F57/$F$2,1)</f>
        <v>1.5</v>
      </c>
      <c r="H57" s="19">
        <f>MIN(H58:H60)</f>
        <v>46357</v>
      </c>
      <c r="I57" s="19">
        <f>MAX(I58:I60)</f>
        <v>46358</v>
      </c>
      <c r="J57" s="17" t="s">
        <v>51</v>
      </c>
      <c r="K57" s="17" t="s">
        <v>54</v>
      </c>
      <c r="L57" s="17" t="s">
        <v>166</v>
      </c>
      <c r="M57" s="18"/>
    </row>
    <row r="58" spans="1:13" outlineLevel="2" x14ac:dyDescent="0.25">
      <c r="A58" s="6" t="s">
        <v>167</v>
      </c>
      <c r="B58" s="6">
        <v>3</v>
      </c>
      <c r="C58" s="20" t="s">
        <v>168</v>
      </c>
      <c r="D58" s="6">
        <v>3</v>
      </c>
      <c r="E58" s="6"/>
      <c r="F58" s="7">
        <f>$B$3*E57*$D$3</f>
        <v>2.4000000000000004</v>
      </c>
      <c r="G58" s="6">
        <f>ROUND(F58/$F$2,2)</f>
        <v>0.3</v>
      </c>
      <c r="H58" s="8">
        <f>WORKDAY($H$40,INT(M58/$F$2))</f>
        <v>46357</v>
      </c>
      <c r="I58" s="8">
        <f>WORKDAY($H$40,INT((M58+F58)/$F$2-0.000001))</f>
        <v>46357</v>
      </c>
      <c r="J58" s="20" t="s">
        <v>51</v>
      </c>
      <c r="K58" s="6"/>
      <c r="L58" s="6"/>
      <c r="M58" s="7">
        <f>SUMIFS($F$6:$F57,$D$6:$D57,$D58,$B$6:$B57,3)</f>
        <v>48.000000000000007</v>
      </c>
    </row>
    <row r="59" spans="1:13" outlineLevel="2" x14ac:dyDescent="0.25">
      <c r="A59" s="6" t="s">
        <v>169</v>
      </c>
      <c r="B59" s="6">
        <v>3</v>
      </c>
      <c r="C59" s="20" t="s">
        <v>170</v>
      </c>
      <c r="D59" s="6">
        <v>3</v>
      </c>
      <c r="E59" s="6"/>
      <c r="F59" s="7">
        <f>$B$3*E57*$F$3</f>
        <v>7.1999999999999993</v>
      </c>
      <c r="G59" s="6">
        <f>ROUND(F59/$F$2,2)</f>
        <v>0.9</v>
      </c>
      <c r="H59" s="8">
        <f>WORKDAY($H$40,INT(M59/$F$2))</f>
        <v>46357</v>
      </c>
      <c r="I59" s="8">
        <f>WORKDAY($H$40,INT((M59+F59)/$F$2-0.000001))</f>
        <v>46358</v>
      </c>
      <c r="J59" s="20" t="s">
        <v>51</v>
      </c>
      <c r="K59" s="6"/>
      <c r="L59" s="6"/>
      <c r="M59" s="7">
        <f>SUMIFS($F$6:$F58,$D$6:$D58,$D59,$B$6:$B58,3)</f>
        <v>50.400000000000006</v>
      </c>
    </row>
    <row r="60" spans="1:13" outlineLevel="2" x14ac:dyDescent="0.25">
      <c r="A60" s="6" t="s">
        <v>171</v>
      </c>
      <c r="B60" s="6">
        <v>3</v>
      </c>
      <c r="C60" s="20" t="s">
        <v>172</v>
      </c>
      <c r="D60" s="6">
        <v>3</v>
      </c>
      <c r="E60" s="6"/>
      <c r="F60" s="7">
        <f>$B$3*E57*$H$3</f>
        <v>2.4000000000000008</v>
      </c>
      <c r="G60" s="6">
        <f>ROUND(F60/$F$2,2)</f>
        <v>0.3</v>
      </c>
      <c r="H60" s="8">
        <f>WORKDAY($H$40,INT(M60/$F$2))</f>
        <v>46358</v>
      </c>
      <c r="I60" s="8">
        <f>WORKDAY($H$40,INT((M60+F60)/$F$2-0.000001))</f>
        <v>46358</v>
      </c>
      <c r="J60" s="20" t="s">
        <v>51</v>
      </c>
      <c r="K60" s="6"/>
      <c r="L60" s="6"/>
      <c r="M60" s="7">
        <f>SUMIFS($F$6:$F59,$D$6:$D59,$D60,$B$6:$B59,3)</f>
        <v>57.600000000000009</v>
      </c>
    </row>
    <row r="61" spans="1:13" outlineLevel="1" x14ac:dyDescent="0.25">
      <c r="A61" s="16" t="s">
        <v>173</v>
      </c>
      <c r="B61" s="16">
        <v>2</v>
      </c>
      <c r="C61" s="17" t="s">
        <v>174</v>
      </c>
      <c r="D61" s="16">
        <v>3</v>
      </c>
      <c r="E61" s="17">
        <v>5</v>
      </c>
      <c r="F61" s="18">
        <f>SUM(F62:F64)</f>
        <v>20</v>
      </c>
      <c r="G61" s="16">
        <f>ROUND(F61/$F$2,1)</f>
        <v>2.5</v>
      </c>
      <c r="H61" s="19">
        <f>MIN(H62:H64)</f>
        <v>46358</v>
      </c>
      <c r="I61" s="19">
        <f>MAX(I62:I64)</f>
        <v>46360</v>
      </c>
      <c r="J61" s="17" t="s">
        <v>51</v>
      </c>
      <c r="K61" s="17" t="s">
        <v>54</v>
      </c>
      <c r="L61" s="17" t="s">
        <v>175</v>
      </c>
      <c r="M61" s="18"/>
    </row>
    <row r="62" spans="1:13" outlineLevel="2" x14ac:dyDescent="0.25">
      <c r="A62" s="6" t="s">
        <v>176</v>
      </c>
      <c r="B62" s="6">
        <v>3</v>
      </c>
      <c r="C62" s="20" t="s">
        <v>177</v>
      </c>
      <c r="D62" s="6">
        <v>3</v>
      </c>
      <c r="E62" s="6"/>
      <c r="F62" s="7">
        <f>$B$3*E61*$D$3</f>
        <v>4</v>
      </c>
      <c r="G62" s="6">
        <f>ROUND(F62/$F$2,2)</f>
        <v>0.5</v>
      </c>
      <c r="H62" s="8">
        <f>WORKDAY($H$40,INT(M62/$F$2))</f>
        <v>46358</v>
      </c>
      <c r="I62" s="8">
        <f>WORKDAY($H$40,INT((M62+F62)/$F$2-0.000001))</f>
        <v>46358</v>
      </c>
      <c r="J62" s="20" t="s">
        <v>51</v>
      </c>
      <c r="K62" s="6"/>
      <c r="L62" s="6"/>
      <c r="M62" s="7">
        <f>SUMIFS($F$6:$F61,$D$6:$D61,$D62,$B$6:$B61,3)</f>
        <v>60.000000000000007</v>
      </c>
    </row>
    <row r="63" spans="1:13" outlineLevel="2" x14ac:dyDescent="0.25">
      <c r="A63" s="6" t="s">
        <v>178</v>
      </c>
      <c r="B63" s="6">
        <v>3</v>
      </c>
      <c r="C63" s="20" t="s">
        <v>179</v>
      </c>
      <c r="D63" s="6">
        <v>3</v>
      </c>
      <c r="E63" s="6"/>
      <c r="F63" s="7">
        <f>$B$3*E61*$F$3</f>
        <v>12</v>
      </c>
      <c r="G63" s="6">
        <f>ROUND(F63/$F$2,2)</f>
        <v>1.5</v>
      </c>
      <c r="H63" s="8">
        <f>WORKDAY($H$40,INT(M63/$F$2))</f>
        <v>46359</v>
      </c>
      <c r="I63" s="8">
        <f>WORKDAY($H$40,INT((M63+F63)/$F$2-0.000001))</f>
        <v>46360</v>
      </c>
      <c r="J63" s="20" t="s">
        <v>51</v>
      </c>
      <c r="K63" s="6"/>
      <c r="L63" s="6"/>
      <c r="M63" s="7">
        <f>SUMIFS($F$6:$F62,$D$6:$D62,$D63,$B$6:$B62,3)</f>
        <v>64</v>
      </c>
    </row>
    <row r="64" spans="1:13" outlineLevel="2" x14ac:dyDescent="0.25">
      <c r="A64" s="6" t="s">
        <v>180</v>
      </c>
      <c r="B64" s="6">
        <v>3</v>
      </c>
      <c r="C64" s="20" t="s">
        <v>181</v>
      </c>
      <c r="D64" s="6">
        <v>3</v>
      </c>
      <c r="E64" s="6"/>
      <c r="F64" s="7">
        <f>$B$3*E61*$H$3</f>
        <v>4.0000000000000018</v>
      </c>
      <c r="G64" s="6">
        <f>ROUND(F64/$F$2,2)</f>
        <v>0.5</v>
      </c>
      <c r="H64" s="8">
        <f>WORKDAY($H$40,INT(M64/$F$2))</f>
        <v>46360</v>
      </c>
      <c r="I64" s="8">
        <f>WORKDAY($H$40,INT((M64+F64)/$F$2-0.000001))</f>
        <v>46360</v>
      </c>
      <c r="J64" s="20" t="s">
        <v>51</v>
      </c>
      <c r="K64" s="6"/>
      <c r="L64" s="6"/>
      <c r="M64" s="7">
        <f>SUMIFS($F$6:$F63,$D$6:$D63,$D64,$B$6:$B63,3)</f>
        <v>76</v>
      </c>
    </row>
    <row r="65" spans="1:13" x14ac:dyDescent="0.25">
      <c r="A65" s="9" t="s">
        <v>182</v>
      </c>
      <c r="B65" s="9">
        <v>1</v>
      </c>
      <c r="C65" s="9" t="s">
        <v>27</v>
      </c>
      <c r="D65" s="9">
        <v>4</v>
      </c>
      <c r="E65" s="9">
        <f>SUMIFS(E66:E85,B66:B85,2)</f>
        <v>19</v>
      </c>
      <c r="F65" s="10">
        <f>SUMIFS(F66:F85,B66:B85,2)</f>
        <v>76</v>
      </c>
      <c r="G65" s="9">
        <f>ROUND(F65/$F$2,1)</f>
        <v>9.5</v>
      </c>
      <c r="H65" s="15">
        <f>$B$2+$D$2*(D65-1)</f>
        <v>46363</v>
      </c>
      <c r="I65" s="15">
        <f>H65+$D$2-1</f>
        <v>46376</v>
      </c>
      <c r="J65" s="9" t="s">
        <v>51</v>
      </c>
      <c r="K65" s="9"/>
      <c r="L65" s="9"/>
      <c r="M65" s="10"/>
    </row>
    <row r="66" spans="1:13" outlineLevel="1" x14ac:dyDescent="0.25">
      <c r="A66" s="16" t="s">
        <v>183</v>
      </c>
      <c r="B66" s="16">
        <v>2</v>
      </c>
      <c r="C66" s="17" t="s">
        <v>184</v>
      </c>
      <c r="D66" s="16">
        <v>4</v>
      </c>
      <c r="E66" s="17">
        <v>3</v>
      </c>
      <c r="F66" s="18">
        <f>SUM(F67:F69)</f>
        <v>12</v>
      </c>
      <c r="G66" s="16">
        <f>ROUND(F66/$F$2,1)</f>
        <v>1.5</v>
      </c>
      <c r="H66" s="19">
        <f>MIN(H67:H69)</f>
        <v>46363</v>
      </c>
      <c r="I66" s="19">
        <f>MAX(I67:I69)</f>
        <v>46364</v>
      </c>
      <c r="J66" s="17" t="s">
        <v>51</v>
      </c>
      <c r="K66" s="17" t="s">
        <v>54</v>
      </c>
      <c r="L66" s="17" t="s">
        <v>185</v>
      </c>
      <c r="M66" s="18"/>
    </row>
    <row r="67" spans="1:13" outlineLevel="2" x14ac:dyDescent="0.25">
      <c r="A67" s="6" t="s">
        <v>186</v>
      </c>
      <c r="B67" s="6">
        <v>3</v>
      </c>
      <c r="C67" s="20" t="s">
        <v>187</v>
      </c>
      <c r="D67" s="6">
        <v>4</v>
      </c>
      <c r="E67" s="6"/>
      <c r="F67" s="7">
        <f>$B$3*E66*$D$3</f>
        <v>2.4000000000000004</v>
      </c>
      <c r="G67" s="6">
        <f>ROUND(F67/$F$2,2)</f>
        <v>0.3</v>
      </c>
      <c r="H67" s="8">
        <f>WORKDAY($H$65,INT(M67/$F$2))</f>
        <v>46363</v>
      </c>
      <c r="I67" s="8">
        <f>WORKDAY($H$65,INT((M67+F67)/$F$2-0.000001))</f>
        <v>46363</v>
      </c>
      <c r="J67" s="20" t="s">
        <v>51</v>
      </c>
      <c r="K67" s="6"/>
      <c r="L67" s="6"/>
      <c r="M67" s="7">
        <f>SUMIFS($F$6:$F66,$D$6:$D66,$D67,$B$6:$B66,3)</f>
        <v>0</v>
      </c>
    </row>
    <row r="68" spans="1:13" outlineLevel="2" x14ac:dyDescent="0.25">
      <c r="A68" s="6" t="s">
        <v>188</v>
      </c>
      <c r="B68" s="6">
        <v>3</v>
      </c>
      <c r="C68" s="20" t="s">
        <v>189</v>
      </c>
      <c r="D68" s="6">
        <v>4</v>
      </c>
      <c r="E68" s="6"/>
      <c r="F68" s="7">
        <f>$B$3*E66*$F$3</f>
        <v>7.1999999999999993</v>
      </c>
      <c r="G68" s="6">
        <f>ROUND(F68/$F$2,2)</f>
        <v>0.9</v>
      </c>
      <c r="H68" s="8">
        <f>WORKDAY($H$65,INT(M68/$F$2))</f>
        <v>46363</v>
      </c>
      <c r="I68" s="8">
        <f>WORKDAY($H$65,INT((M68+F68)/$F$2-0.000001))</f>
        <v>46364</v>
      </c>
      <c r="J68" s="20" t="s">
        <v>51</v>
      </c>
      <c r="K68" s="6"/>
      <c r="L68" s="6"/>
      <c r="M68" s="7">
        <f>SUMIFS($F$6:$F67,$D$6:$D67,$D68,$B$6:$B67,3)</f>
        <v>2.4000000000000004</v>
      </c>
    </row>
    <row r="69" spans="1:13" outlineLevel="2" x14ac:dyDescent="0.25">
      <c r="A69" s="6" t="s">
        <v>190</v>
      </c>
      <c r="B69" s="6">
        <v>3</v>
      </c>
      <c r="C69" s="20" t="s">
        <v>191</v>
      </c>
      <c r="D69" s="6">
        <v>4</v>
      </c>
      <c r="E69" s="6"/>
      <c r="F69" s="7">
        <f>$B$3*E66*$H$3</f>
        <v>2.4000000000000008</v>
      </c>
      <c r="G69" s="6">
        <f>ROUND(F69/$F$2,2)</f>
        <v>0.3</v>
      </c>
      <c r="H69" s="8">
        <f>WORKDAY($H$65,INT(M69/$F$2))</f>
        <v>46364</v>
      </c>
      <c r="I69" s="8">
        <f>WORKDAY($H$65,INT((M69+F69)/$F$2-0.000001))</f>
        <v>46364</v>
      </c>
      <c r="J69" s="20" t="s">
        <v>51</v>
      </c>
      <c r="K69" s="6"/>
      <c r="L69" s="6"/>
      <c r="M69" s="7">
        <f>SUMIFS($F$6:$F68,$D$6:$D68,$D69,$B$6:$B68,3)</f>
        <v>9.6</v>
      </c>
    </row>
    <row r="70" spans="1:13" outlineLevel="1" x14ac:dyDescent="0.25">
      <c r="A70" s="16" t="s">
        <v>192</v>
      </c>
      <c r="B70" s="16">
        <v>2</v>
      </c>
      <c r="C70" s="17" t="s">
        <v>193</v>
      </c>
      <c r="D70" s="16">
        <v>4</v>
      </c>
      <c r="E70" s="17">
        <v>5</v>
      </c>
      <c r="F70" s="18">
        <f>SUM(F71:F73)</f>
        <v>20</v>
      </c>
      <c r="G70" s="16">
        <f>ROUND(F70/$F$2,1)</f>
        <v>2.5</v>
      </c>
      <c r="H70" s="19">
        <f>MIN(H71:H73)</f>
        <v>46364</v>
      </c>
      <c r="I70" s="19">
        <f>MAX(I71:I73)</f>
        <v>46366</v>
      </c>
      <c r="J70" s="17" t="s">
        <v>51</v>
      </c>
      <c r="K70" s="17" t="s">
        <v>54</v>
      </c>
      <c r="L70" s="17" t="s">
        <v>194</v>
      </c>
      <c r="M70" s="18"/>
    </row>
    <row r="71" spans="1:13" outlineLevel="2" x14ac:dyDescent="0.25">
      <c r="A71" s="6" t="s">
        <v>195</v>
      </c>
      <c r="B71" s="6">
        <v>3</v>
      </c>
      <c r="C71" s="20" t="s">
        <v>196</v>
      </c>
      <c r="D71" s="6">
        <v>4</v>
      </c>
      <c r="E71" s="6"/>
      <c r="F71" s="7">
        <f>$B$3*E70*$D$3</f>
        <v>4</v>
      </c>
      <c r="G71" s="6">
        <f>ROUND(F71/$F$2,2)</f>
        <v>0.5</v>
      </c>
      <c r="H71" s="8">
        <f>WORKDAY($H$65,INT(M71/$F$2))</f>
        <v>46364</v>
      </c>
      <c r="I71" s="8">
        <f>WORKDAY($H$65,INT((M71+F71)/$F$2-0.000001))</f>
        <v>46364</v>
      </c>
      <c r="J71" s="20" t="s">
        <v>51</v>
      </c>
      <c r="K71" s="6"/>
      <c r="L71" s="6"/>
      <c r="M71" s="7">
        <f>SUMIFS($F$6:$F70,$D$6:$D70,$D71,$B$6:$B70,3)</f>
        <v>12</v>
      </c>
    </row>
    <row r="72" spans="1:13" outlineLevel="2" x14ac:dyDescent="0.25">
      <c r="A72" s="6" t="s">
        <v>197</v>
      </c>
      <c r="B72" s="6">
        <v>3</v>
      </c>
      <c r="C72" s="20" t="s">
        <v>198</v>
      </c>
      <c r="D72" s="6">
        <v>4</v>
      </c>
      <c r="E72" s="6"/>
      <c r="F72" s="7">
        <f>$B$3*E70*$F$3</f>
        <v>12</v>
      </c>
      <c r="G72" s="6">
        <f>ROUND(F72/$F$2,2)</f>
        <v>1.5</v>
      </c>
      <c r="H72" s="8">
        <f>WORKDAY($H$65,INT(M72/$F$2))</f>
        <v>46365</v>
      </c>
      <c r="I72" s="8">
        <f>WORKDAY($H$65,INT((M72+F72)/$F$2-0.000001))</f>
        <v>46366</v>
      </c>
      <c r="J72" s="20" t="s">
        <v>51</v>
      </c>
      <c r="K72" s="6"/>
      <c r="L72" s="6"/>
      <c r="M72" s="7">
        <f>SUMIFS($F$6:$F71,$D$6:$D71,$D72,$B$6:$B71,3)</f>
        <v>16</v>
      </c>
    </row>
    <row r="73" spans="1:13" outlineLevel="2" x14ac:dyDescent="0.25">
      <c r="A73" s="6" t="s">
        <v>199</v>
      </c>
      <c r="B73" s="6">
        <v>3</v>
      </c>
      <c r="C73" s="20" t="s">
        <v>200</v>
      </c>
      <c r="D73" s="6">
        <v>4</v>
      </c>
      <c r="E73" s="6"/>
      <c r="F73" s="7">
        <f>$B$3*E70*$H$3</f>
        <v>4.0000000000000018</v>
      </c>
      <c r="G73" s="6">
        <f>ROUND(F73/$F$2,2)</f>
        <v>0.5</v>
      </c>
      <c r="H73" s="8">
        <f>WORKDAY($H$65,INT(M73/$F$2))</f>
        <v>46366</v>
      </c>
      <c r="I73" s="8">
        <f>WORKDAY($H$65,INT((M73+F73)/$F$2-0.000001))</f>
        <v>46366</v>
      </c>
      <c r="J73" s="20" t="s">
        <v>51</v>
      </c>
      <c r="K73" s="6"/>
      <c r="L73" s="6"/>
      <c r="M73" s="7">
        <f>SUMIFS($F$6:$F72,$D$6:$D72,$D73,$B$6:$B72,3)</f>
        <v>28</v>
      </c>
    </row>
    <row r="74" spans="1:13" outlineLevel="1" x14ac:dyDescent="0.25">
      <c r="A74" s="16" t="s">
        <v>201</v>
      </c>
      <c r="B74" s="16">
        <v>2</v>
      </c>
      <c r="C74" s="17" t="s">
        <v>202</v>
      </c>
      <c r="D74" s="16">
        <v>4</v>
      </c>
      <c r="E74" s="17">
        <v>3</v>
      </c>
      <c r="F74" s="18">
        <f>SUM(F75:F77)</f>
        <v>12</v>
      </c>
      <c r="G74" s="16">
        <f>ROUND(F74/$F$2,1)</f>
        <v>1.5</v>
      </c>
      <c r="H74" s="19">
        <f>MIN(H75:H77)</f>
        <v>46367</v>
      </c>
      <c r="I74" s="19">
        <f>MAX(I75:I77)</f>
        <v>46370</v>
      </c>
      <c r="J74" s="17" t="s">
        <v>51</v>
      </c>
      <c r="K74" s="17" t="s">
        <v>54</v>
      </c>
      <c r="L74" s="17" t="s">
        <v>203</v>
      </c>
      <c r="M74" s="18"/>
    </row>
    <row r="75" spans="1:13" outlineLevel="2" x14ac:dyDescent="0.25">
      <c r="A75" s="6" t="s">
        <v>204</v>
      </c>
      <c r="B75" s="6">
        <v>3</v>
      </c>
      <c r="C75" s="20" t="s">
        <v>205</v>
      </c>
      <c r="D75" s="6">
        <v>4</v>
      </c>
      <c r="E75" s="6"/>
      <c r="F75" s="7">
        <f>$B$3*E74*$D$3</f>
        <v>2.4000000000000004</v>
      </c>
      <c r="G75" s="6">
        <f>ROUND(F75/$F$2,2)</f>
        <v>0.3</v>
      </c>
      <c r="H75" s="8">
        <f>WORKDAY($H$65,INT(M75/$F$2))</f>
        <v>46367</v>
      </c>
      <c r="I75" s="8">
        <f>WORKDAY($H$65,INT((M75+F75)/$F$2-0.000001))</f>
        <v>46367</v>
      </c>
      <c r="J75" s="20" t="s">
        <v>51</v>
      </c>
      <c r="K75" s="6"/>
      <c r="L75" s="6"/>
      <c r="M75" s="7">
        <f>SUMIFS($F$6:$F74,$D$6:$D74,$D75,$B$6:$B74,3)</f>
        <v>32</v>
      </c>
    </row>
    <row r="76" spans="1:13" outlineLevel="2" x14ac:dyDescent="0.25">
      <c r="A76" s="6" t="s">
        <v>206</v>
      </c>
      <c r="B76" s="6">
        <v>3</v>
      </c>
      <c r="C76" s="20" t="s">
        <v>207</v>
      </c>
      <c r="D76" s="6">
        <v>4</v>
      </c>
      <c r="E76" s="6"/>
      <c r="F76" s="7">
        <f>$B$3*E74*$F$3</f>
        <v>7.1999999999999993</v>
      </c>
      <c r="G76" s="6">
        <f>ROUND(F76/$F$2,2)</f>
        <v>0.9</v>
      </c>
      <c r="H76" s="8">
        <f>WORKDAY($H$65,INT(M76/$F$2))</f>
        <v>46367</v>
      </c>
      <c r="I76" s="8">
        <f>WORKDAY($H$65,INT((M76+F76)/$F$2-0.000001))</f>
        <v>46370</v>
      </c>
      <c r="J76" s="20" t="s">
        <v>51</v>
      </c>
      <c r="K76" s="6"/>
      <c r="L76" s="6"/>
      <c r="M76" s="7">
        <f>SUMIFS($F$6:$F75,$D$6:$D75,$D76,$B$6:$B75,3)</f>
        <v>34.4</v>
      </c>
    </row>
    <row r="77" spans="1:13" outlineLevel="2" x14ac:dyDescent="0.25">
      <c r="A77" s="6" t="s">
        <v>208</v>
      </c>
      <c r="B77" s="6">
        <v>3</v>
      </c>
      <c r="C77" s="20" t="s">
        <v>209</v>
      </c>
      <c r="D77" s="6">
        <v>4</v>
      </c>
      <c r="E77" s="6"/>
      <c r="F77" s="7">
        <f>$B$3*E74*$H$3</f>
        <v>2.4000000000000008</v>
      </c>
      <c r="G77" s="6">
        <f>ROUND(F77/$F$2,2)</f>
        <v>0.3</v>
      </c>
      <c r="H77" s="8">
        <f>WORKDAY($H$65,INT(M77/$F$2))</f>
        <v>46370</v>
      </c>
      <c r="I77" s="8">
        <f>WORKDAY($H$65,INT((M77+F77)/$F$2-0.000001))</f>
        <v>46370</v>
      </c>
      <c r="J77" s="20" t="s">
        <v>51</v>
      </c>
      <c r="K77" s="6"/>
      <c r="L77" s="6"/>
      <c r="M77" s="7">
        <f>SUMIFS($F$6:$F76,$D$6:$D76,$D77,$B$6:$B76,3)</f>
        <v>41.599999999999994</v>
      </c>
    </row>
    <row r="78" spans="1:13" outlineLevel="1" x14ac:dyDescent="0.25">
      <c r="A78" s="16" t="s">
        <v>210</v>
      </c>
      <c r="B78" s="16">
        <v>2</v>
      </c>
      <c r="C78" s="17" t="s">
        <v>211</v>
      </c>
      <c r="D78" s="16">
        <v>4</v>
      </c>
      <c r="E78" s="17">
        <v>5</v>
      </c>
      <c r="F78" s="18">
        <f>SUM(F79:F81)</f>
        <v>20</v>
      </c>
      <c r="G78" s="16">
        <f>ROUND(F78/$F$2,1)</f>
        <v>2.5</v>
      </c>
      <c r="H78" s="19">
        <f>MIN(H79:H81)</f>
        <v>46370</v>
      </c>
      <c r="I78" s="19">
        <f>MAX(I79:I81)</f>
        <v>46372</v>
      </c>
      <c r="J78" s="17" t="s">
        <v>51</v>
      </c>
      <c r="K78" s="17" t="s">
        <v>54</v>
      </c>
      <c r="L78" s="17" t="s">
        <v>212</v>
      </c>
      <c r="M78" s="18"/>
    </row>
    <row r="79" spans="1:13" outlineLevel="2" x14ac:dyDescent="0.25">
      <c r="A79" s="6" t="s">
        <v>213</v>
      </c>
      <c r="B79" s="6">
        <v>3</v>
      </c>
      <c r="C79" s="20" t="s">
        <v>214</v>
      </c>
      <c r="D79" s="6">
        <v>4</v>
      </c>
      <c r="E79" s="6"/>
      <c r="F79" s="7">
        <f>$B$3*E78*$D$3</f>
        <v>4</v>
      </c>
      <c r="G79" s="6">
        <f>ROUND(F79/$F$2,2)</f>
        <v>0.5</v>
      </c>
      <c r="H79" s="8">
        <f>WORKDAY($H$65,INT(M79/$F$2))</f>
        <v>46370</v>
      </c>
      <c r="I79" s="8">
        <f>WORKDAY($H$65,INT((M79+F79)/$F$2-0.000001))</f>
        <v>46370</v>
      </c>
      <c r="J79" s="20" t="s">
        <v>51</v>
      </c>
      <c r="K79" s="6"/>
      <c r="L79" s="6"/>
      <c r="M79" s="7">
        <f>SUMIFS($F$6:$F78,$D$6:$D78,$D79,$B$6:$B78,3)</f>
        <v>43.999999999999993</v>
      </c>
    </row>
    <row r="80" spans="1:13" outlineLevel="2" x14ac:dyDescent="0.25">
      <c r="A80" s="6" t="s">
        <v>215</v>
      </c>
      <c r="B80" s="6">
        <v>3</v>
      </c>
      <c r="C80" s="20" t="s">
        <v>216</v>
      </c>
      <c r="D80" s="6">
        <v>4</v>
      </c>
      <c r="E80" s="6"/>
      <c r="F80" s="7">
        <f>$B$3*E78*$F$3</f>
        <v>12</v>
      </c>
      <c r="G80" s="6">
        <f>ROUND(F80/$F$2,2)</f>
        <v>1.5</v>
      </c>
      <c r="H80" s="8">
        <f>WORKDAY($H$65,INT(M80/$F$2))</f>
        <v>46371</v>
      </c>
      <c r="I80" s="8">
        <f>WORKDAY($H$65,INT((M80+F80)/$F$2-0.000001))</f>
        <v>46372</v>
      </c>
      <c r="J80" s="20" t="s">
        <v>51</v>
      </c>
      <c r="K80" s="6"/>
      <c r="L80" s="6"/>
      <c r="M80" s="7">
        <f>SUMIFS($F$6:$F79,$D$6:$D79,$D80,$B$6:$B79,3)</f>
        <v>47.999999999999993</v>
      </c>
    </row>
    <row r="81" spans="1:13" outlineLevel="2" x14ac:dyDescent="0.25">
      <c r="A81" s="6" t="s">
        <v>217</v>
      </c>
      <c r="B81" s="6">
        <v>3</v>
      </c>
      <c r="C81" s="20" t="s">
        <v>218</v>
      </c>
      <c r="D81" s="6">
        <v>4</v>
      </c>
      <c r="E81" s="6"/>
      <c r="F81" s="7">
        <f>$B$3*E78*$H$3</f>
        <v>4.0000000000000018</v>
      </c>
      <c r="G81" s="6">
        <f>ROUND(F81/$F$2,2)</f>
        <v>0.5</v>
      </c>
      <c r="H81" s="8">
        <f>WORKDAY($H$65,INT(M81/$F$2))</f>
        <v>46372</v>
      </c>
      <c r="I81" s="8">
        <f>WORKDAY($H$65,INT((M81+F81)/$F$2-0.000001))</f>
        <v>46372</v>
      </c>
      <c r="J81" s="20" t="s">
        <v>51</v>
      </c>
      <c r="K81" s="6"/>
      <c r="L81" s="6"/>
      <c r="M81" s="7">
        <f>SUMIFS($F$6:$F80,$D$6:$D80,$D81,$B$6:$B80,3)</f>
        <v>59.999999999999993</v>
      </c>
    </row>
    <row r="82" spans="1:13" outlineLevel="1" x14ac:dyDescent="0.25">
      <c r="A82" s="16" t="s">
        <v>219</v>
      </c>
      <c r="B82" s="16">
        <v>2</v>
      </c>
      <c r="C82" s="17" t="s">
        <v>220</v>
      </c>
      <c r="D82" s="16">
        <v>4</v>
      </c>
      <c r="E82" s="17">
        <v>3</v>
      </c>
      <c r="F82" s="18">
        <f>SUM(F83:F85)</f>
        <v>12</v>
      </c>
      <c r="G82" s="16">
        <f>ROUND(F82/$F$2,1)</f>
        <v>1.5</v>
      </c>
      <c r="H82" s="19">
        <f>MIN(H83:H85)</f>
        <v>46373</v>
      </c>
      <c r="I82" s="19">
        <f>MAX(I83:I85)</f>
        <v>46374</v>
      </c>
      <c r="J82" s="17" t="s">
        <v>51</v>
      </c>
      <c r="K82" s="17" t="s">
        <v>54</v>
      </c>
      <c r="L82" s="17" t="s">
        <v>221</v>
      </c>
      <c r="M82" s="18"/>
    </row>
    <row r="83" spans="1:13" outlineLevel="2" x14ac:dyDescent="0.25">
      <c r="A83" s="6" t="s">
        <v>222</v>
      </c>
      <c r="B83" s="6">
        <v>3</v>
      </c>
      <c r="C83" s="20" t="s">
        <v>223</v>
      </c>
      <c r="D83" s="6">
        <v>4</v>
      </c>
      <c r="E83" s="6"/>
      <c r="F83" s="7">
        <f>$B$3*E82*$D$3</f>
        <v>2.4000000000000004</v>
      </c>
      <c r="G83" s="6">
        <f>ROUND(F83/$F$2,2)</f>
        <v>0.3</v>
      </c>
      <c r="H83" s="8">
        <f>WORKDAY($H$65,INT(M83/$F$2))</f>
        <v>46373</v>
      </c>
      <c r="I83" s="8">
        <f>WORKDAY($H$65,INT((M83+F83)/$F$2-0.000001))</f>
        <v>46373</v>
      </c>
      <c r="J83" s="20" t="s">
        <v>51</v>
      </c>
      <c r="K83" s="6"/>
      <c r="L83" s="6"/>
      <c r="M83" s="7">
        <f>SUMIFS($F$6:$F82,$D$6:$D82,$D83,$B$6:$B82,3)</f>
        <v>63.999999999999993</v>
      </c>
    </row>
    <row r="84" spans="1:13" outlineLevel="2" x14ac:dyDescent="0.25">
      <c r="A84" s="6" t="s">
        <v>224</v>
      </c>
      <c r="B84" s="6">
        <v>3</v>
      </c>
      <c r="C84" s="20" t="s">
        <v>225</v>
      </c>
      <c r="D84" s="6">
        <v>4</v>
      </c>
      <c r="E84" s="6"/>
      <c r="F84" s="7">
        <f>$B$3*E82*$F$3</f>
        <v>7.1999999999999993</v>
      </c>
      <c r="G84" s="6">
        <f>ROUND(F84/$F$2,2)</f>
        <v>0.9</v>
      </c>
      <c r="H84" s="8">
        <f>WORKDAY($H$65,INT(M84/$F$2))</f>
        <v>46373</v>
      </c>
      <c r="I84" s="8">
        <f>WORKDAY($H$65,INT((M84+F84)/$F$2-0.000001))</f>
        <v>46374</v>
      </c>
      <c r="J84" s="20" t="s">
        <v>51</v>
      </c>
      <c r="K84" s="6"/>
      <c r="L84" s="6"/>
      <c r="M84" s="7">
        <f>SUMIFS($F$6:$F83,$D$6:$D83,$D84,$B$6:$B83,3)</f>
        <v>66.399999999999991</v>
      </c>
    </row>
    <row r="85" spans="1:13" outlineLevel="2" x14ac:dyDescent="0.25">
      <c r="A85" s="6" t="s">
        <v>226</v>
      </c>
      <c r="B85" s="6">
        <v>3</v>
      </c>
      <c r="C85" s="20" t="s">
        <v>227</v>
      </c>
      <c r="D85" s="6">
        <v>4</v>
      </c>
      <c r="E85" s="6"/>
      <c r="F85" s="7">
        <f>$B$3*E82*$H$3</f>
        <v>2.4000000000000008</v>
      </c>
      <c r="G85" s="6">
        <f>ROUND(F85/$F$2,2)</f>
        <v>0.3</v>
      </c>
      <c r="H85" s="8">
        <f>WORKDAY($H$65,INT(M85/$F$2))</f>
        <v>46374</v>
      </c>
      <c r="I85" s="8">
        <f>WORKDAY($H$65,INT((M85+F85)/$F$2-0.000001))</f>
        <v>46374</v>
      </c>
      <c r="J85" s="20" t="s">
        <v>51</v>
      </c>
      <c r="K85" s="6"/>
      <c r="L85" s="6"/>
      <c r="M85" s="7">
        <f>SUMIFS($F$6:$F84,$D$6:$D84,$D85,$B$6:$B84,3)</f>
        <v>73.599999999999994</v>
      </c>
    </row>
    <row r="86" spans="1:13" x14ac:dyDescent="0.25">
      <c r="A86" s="9" t="s">
        <v>228</v>
      </c>
      <c r="B86" s="9">
        <v>1</v>
      </c>
      <c r="C86" s="9" t="s">
        <v>28</v>
      </c>
      <c r="D86" s="9">
        <v>5</v>
      </c>
      <c r="E86" s="9">
        <f>SUMIFS(E87:E98,B87:B98,2)</f>
        <v>18</v>
      </c>
      <c r="F86" s="10">
        <f>SUMIFS(F87:F98,B87:B98,2)</f>
        <v>72</v>
      </c>
      <c r="G86" s="9">
        <f>ROUND(F86/$F$2,1)</f>
        <v>9</v>
      </c>
      <c r="H86" s="15">
        <f>$B$2+$D$2*(D86-1)</f>
        <v>46377</v>
      </c>
      <c r="I86" s="15">
        <f>H86+$D$2-1</f>
        <v>46390</v>
      </c>
      <c r="J86" s="9" t="s">
        <v>51</v>
      </c>
      <c r="K86" s="9"/>
      <c r="L86" s="9"/>
      <c r="M86" s="10"/>
    </row>
    <row r="87" spans="1:13" outlineLevel="1" x14ac:dyDescent="0.25">
      <c r="A87" s="16" t="s">
        <v>229</v>
      </c>
      <c r="B87" s="16">
        <v>2</v>
      </c>
      <c r="C87" s="17" t="s">
        <v>230</v>
      </c>
      <c r="D87" s="16">
        <v>5</v>
      </c>
      <c r="E87" s="17">
        <v>5</v>
      </c>
      <c r="F87" s="18">
        <f>SUM(F88:F90)</f>
        <v>20</v>
      </c>
      <c r="G87" s="16">
        <f>ROUND(F87/$F$2,1)</f>
        <v>2.5</v>
      </c>
      <c r="H87" s="19">
        <f>MIN(H88:H90)</f>
        <v>46377</v>
      </c>
      <c r="I87" s="19">
        <f>MAX(I88:I90)</f>
        <v>46379</v>
      </c>
      <c r="J87" s="17" t="s">
        <v>51</v>
      </c>
      <c r="K87" s="17" t="s">
        <v>54</v>
      </c>
      <c r="L87" s="17" t="s">
        <v>231</v>
      </c>
      <c r="M87" s="18"/>
    </row>
    <row r="88" spans="1:13" outlineLevel="2" x14ac:dyDescent="0.25">
      <c r="A88" s="6" t="s">
        <v>232</v>
      </c>
      <c r="B88" s="6">
        <v>3</v>
      </c>
      <c r="C88" s="20" t="s">
        <v>233</v>
      </c>
      <c r="D88" s="6">
        <v>5</v>
      </c>
      <c r="E88" s="6"/>
      <c r="F88" s="7">
        <f>$B$3*E87*$D$3</f>
        <v>4</v>
      </c>
      <c r="G88" s="6">
        <f>ROUND(F88/$F$2,2)</f>
        <v>0.5</v>
      </c>
      <c r="H88" s="8">
        <f>WORKDAY($H$86,INT(M88/$F$2))</f>
        <v>46377</v>
      </c>
      <c r="I88" s="8">
        <f>WORKDAY($H$86,INT((M88+F88)/$F$2-0.000001))</f>
        <v>46377</v>
      </c>
      <c r="J88" s="20" t="s">
        <v>51</v>
      </c>
      <c r="K88" s="6"/>
      <c r="L88" s="6"/>
      <c r="M88" s="7">
        <f>SUMIFS($F$6:$F87,$D$6:$D87,$D88,$B$6:$B87,3)</f>
        <v>0</v>
      </c>
    </row>
    <row r="89" spans="1:13" outlineLevel="2" x14ac:dyDescent="0.25">
      <c r="A89" s="6" t="s">
        <v>234</v>
      </c>
      <c r="B89" s="6">
        <v>3</v>
      </c>
      <c r="C89" s="20" t="s">
        <v>235</v>
      </c>
      <c r="D89" s="6">
        <v>5</v>
      </c>
      <c r="E89" s="6"/>
      <c r="F89" s="7">
        <f>$B$3*E87*$F$3</f>
        <v>12</v>
      </c>
      <c r="G89" s="6">
        <f>ROUND(F89/$F$2,2)</f>
        <v>1.5</v>
      </c>
      <c r="H89" s="8">
        <f>WORKDAY($H$86,INT(M89/$F$2))</f>
        <v>46377</v>
      </c>
      <c r="I89" s="8">
        <f>WORKDAY($H$86,INT((M89+F89)/$F$2-0.000001))</f>
        <v>46378</v>
      </c>
      <c r="J89" s="20" t="s">
        <v>51</v>
      </c>
      <c r="K89" s="6"/>
      <c r="L89" s="6"/>
      <c r="M89" s="7">
        <f>SUMIFS($F$6:$F88,$D$6:$D88,$D89,$B$6:$B88,3)</f>
        <v>4</v>
      </c>
    </row>
    <row r="90" spans="1:13" outlineLevel="2" x14ac:dyDescent="0.25">
      <c r="A90" s="6" t="s">
        <v>236</v>
      </c>
      <c r="B90" s="6">
        <v>3</v>
      </c>
      <c r="C90" s="20" t="s">
        <v>237</v>
      </c>
      <c r="D90" s="6">
        <v>5</v>
      </c>
      <c r="E90" s="6"/>
      <c r="F90" s="7">
        <f>$B$3*E87*$H$3</f>
        <v>4.0000000000000018</v>
      </c>
      <c r="G90" s="6">
        <f>ROUND(F90/$F$2,2)</f>
        <v>0.5</v>
      </c>
      <c r="H90" s="8">
        <f>WORKDAY($H$86,INT(M90/$F$2))</f>
        <v>46379</v>
      </c>
      <c r="I90" s="8">
        <f>WORKDAY($H$86,INT((M90+F90)/$F$2-0.000001))</f>
        <v>46379</v>
      </c>
      <c r="J90" s="20" t="s">
        <v>51</v>
      </c>
      <c r="K90" s="6"/>
      <c r="L90" s="6"/>
      <c r="M90" s="7">
        <f>SUMIFS($F$6:$F89,$D$6:$D89,$D90,$B$6:$B89,3)</f>
        <v>16</v>
      </c>
    </row>
    <row r="91" spans="1:13" outlineLevel="1" x14ac:dyDescent="0.25">
      <c r="A91" s="16" t="s">
        <v>238</v>
      </c>
      <c r="B91" s="16">
        <v>2</v>
      </c>
      <c r="C91" s="17" t="s">
        <v>239</v>
      </c>
      <c r="D91" s="16">
        <v>5</v>
      </c>
      <c r="E91" s="17">
        <v>5</v>
      </c>
      <c r="F91" s="18">
        <f>SUM(F92:F94)</f>
        <v>20</v>
      </c>
      <c r="G91" s="16">
        <f>ROUND(F91/$F$2,1)</f>
        <v>2.5</v>
      </c>
      <c r="H91" s="19">
        <f>MIN(H92:H94)</f>
        <v>46379</v>
      </c>
      <c r="I91" s="19">
        <f>MAX(I92:I94)</f>
        <v>46381</v>
      </c>
      <c r="J91" s="17" t="s">
        <v>51</v>
      </c>
      <c r="K91" s="17" t="s">
        <v>54</v>
      </c>
      <c r="L91" s="17" t="s">
        <v>240</v>
      </c>
      <c r="M91" s="18"/>
    </row>
    <row r="92" spans="1:13" outlineLevel="2" x14ac:dyDescent="0.25">
      <c r="A92" s="6" t="s">
        <v>241</v>
      </c>
      <c r="B92" s="6">
        <v>3</v>
      </c>
      <c r="C92" s="20" t="s">
        <v>242</v>
      </c>
      <c r="D92" s="6">
        <v>5</v>
      </c>
      <c r="E92" s="6"/>
      <c r="F92" s="7">
        <f>$B$3*E91*$D$3</f>
        <v>4</v>
      </c>
      <c r="G92" s="6">
        <f>ROUND(F92/$F$2,2)</f>
        <v>0.5</v>
      </c>
      <c r="H92" s="8">
        <f>WORKDAY($H$86,INT(M92/$F$2))</f>
        <v>46379</v>
      </c>
      <c r="I92" s="8">
        <f>WORKDAY($H$86,INT((M92+F92)/$F$2-0.000001))</f>
        <v>46379</v>
      </c>
      <c r="J92" s="20" t="s">
        <v>51</v>
      </c>
      <c r="K92" s="6"/>
      <c r="L92" s="6"/>
      <c r="M92" s="7">
        <f>SUMIFS($F$6:$F91,$D$6:$D91,$D92,$B$6:$B91,3)</f>
        <v>20</v>
      </c>
    </row>
    <row r="93" spans="1:13" outlineLevel="2" x14ac:dyDescent="0.25">
      <c r="A93" s="6" t="s">
        <v>243</v>
      </c>
      <c r="B93" s="6">
        <v>3</v>
      </c>
      <c r="C93" s="20" t="s">
        <v>244</v>
      </c>
      <c r="D93" s="6">
        <v>5</v>
      </c>
      <c r="E93" s="6"/>
      <c r="F93" s="7">
        <f>$B$3*E91*$F$3</f>
        <v>12</v>
      </c>
      <c r="G93" s="6">
        <f>ROUND(F93/$F$2,2)</f>
        <v>1.5</v>
      </c>
      <c r="H93" s="8">
        <f>WORKDAY($H$86,INT(M93/$F$2))</f>
        <v>46380</v>
      </c>
      <c r="I93" s="8">
        <f>WORKDAY($H$86,INT((M93+F93)/$F$2-0.000001))</f>
        <v>46381</v>
      </c>
      <c r="J93" s="20" t="s">
        <v>51</v>
      </c>
      <c r="K93" s="6"/>
      <c r="L93" s="6"/>
      <c r="M93" s="7">
        <f>SUMIFS($F$6:$F92,$D$6:$D92,$D93,$B$6:$B92,3)</f>
        <v>24</v>
      </c>
    </row>
    <row r="94" spans="1:13" outlineLevel="2" x14ac:dyDescent="0.25">
      <c r="A94" s="6" t="s">
        <v>245</v>
      </c>
      <c r="B94" s="6">
        <v>3</v>
      </c>
      <c r="C94" s="20" t="s">
        <v>246</v>
      </c>
      <c r="D94" s="6">
        <v>5</v>
      </c>
      <c r="E94" s="6"/>
      <c r="F94" s="7">
        <f>$B$3*E91*$H$3</f>
        <v>4.0000000000000018</v>
      </c>
      <c r="G94" s="6">
        <f>ROUND(F94/$F$2,2)</f>
        <v>0.5</v>
      </c>
      <c r="H94" s="8">
        <f>WORKDAY($H$86,INT(M94/$F$2))</f>
        <v>46381</v>
      </c>
      <c r="I94" s="8">
        <f>WORKDAY($H$86,INT((M94+F94)/$F$2-0.000001))</f>
        <v>46381</v>
      </c>
      <c r="J94" s="20" t="s">
        <v>51</v>
      </c>
      <c r="K94" s="6"/>
      <c r="L94" s="6"/>
      <c r="M94" s="7">
        <f>SUMIFS($F$6:$F93,$D$6:$D93,$D94,$B$6:$B93,3)</f>
        <v>36</v>
      </c>
    </row>
    <row r="95" spans="1:13" outlineLevel="1" x14ac:dyDescent="0.25">
      <c r="A95" s="16" t="s">
        <v>247</v>
      </c>
      <c r="B95" s="16">
        <v>2</v>
      </c>
      <c r="C95" s="17" t="s">
        <v>248</v>
      </c>
      <c r="D95" s="16">
        <v>5</v>
      </c>
      <c r="E95" s="17">
        <v>8</v>
      </c>
      <c r="F95" s="18">
        <f>SUM(F96:F98)</f>
        <v>32</v>
      </c>
      <c r="G95" s="16">
        <f>ROUND(F95/$F$2,1)</f>
        <v>4</v>
      </c>
      <c r="H95" s="19">
        <f>MIN(H96:H98)</f>
        <v>46384</v>
      </c>
      <c r="I95" s="19">
        <f>MAX(I96:I98)</f>
        <v>46387</v>
      </c>
      <c r="J95" s="17" t="s">
        <v>51</v>
      </c>
      <c r="K95" s="17" t="s">
        <v>54</v>
      </c>
      <c r="L95" s="17" t="s">
        <v>249</v>
      </c>
      <c r="M95" s="18"/>
    </row>
    <row r="96" spans="1:13" outlineLevel="2" x14ac:dyDescent="0.25">
      <c r="A96" s="6" t="s">
        <v>250</v>
      </c>
      <c r="B96" s="6">
        <v>3</v>
      </c>
      <c r="C96" s="20" t="s">
        <v>251</v>
      </c>
      <c r="D96" s="6">
        <v>5</v>
      </c>
      <c r="E96" s="6"/>
      <c r="F96" s="7">
        <f>$B$3*E95*$D$3</f>
        <v>6.4</v>
      </c>
      <c r="G96" s="6">
        <f>ROUND(F96/$F$2,2)</f>
        <v>0.8</v>
      </c>
      <c r="H96" s="8">
        <f>WORKDAY($H$86,INT(M96/$F$2))</f>
        <v>46384</v>
      </c>
      <c r="I96" s="8">
        <f>WORKDAY($H$86,INT((M96+F96)/$F$2-0.000001))</f>
        <v>46384</v>
      </c>
      <c r="J96" s="20" t="s">
        <v>51</v>
      </c>
      <c r="K96" s="6"/>
      <c r="L96" s="6"/>
      <c r="M96" s="7">
        <f>SUMIFS($F$6:$F95,$D$6:$D95,$D96,$B$6:$B95,3)</f>
        <v>40</v>
      </c>
    </row>
    <row r="97" spans="1:13" outlineLevel="2" x14ac:dyDescent="0.25">
      <c r="A97" s="6" t="s">
        <v>252</v>
      </c>
      <c r="B97" s="6">
        <v>3</v>
      </c>
      <c r="C97" s="20" t="s">
        <v>253</v>
      </c>
      <c r="D97" s="6">
        <v>5</v>
      </c>
      <c r="E97" s="6"/>
      <c r="F97" s="7">
        <f>$B$3*E95*$F$3</f>
        <v>19.2</v>
      </c>
      <c r="G97" s="6">
        <f>ROUND(F97/$F$2,2)</f>
        <v>2.4</v>
      </c>
      <c r="H97" s="8">
        <f>WORKDAY($H$86,INT(M97/$F$2))</f>
        <v>46384</v>
      </c>
      <c r="I97" s="8">
        <f>WORKDAY($H$86,INT((M97+F97)/$F$2-0.000001))</f>
        <v>46387</v>
      </c>
      <c r="J97" s="20" t="s">
        <v>51</v>
      </c>
      <c r="K97" s="6"/>
      <c r="L97" s="6"/>
      <c r="M97" s="7">
        <f>SUMIFS($F$6:$F96,$D$6:$D96,$D97,$B$6:$B96,3)</f>
        <v>46.4</v>
      </c>
    </row>
    <row r="98" spans="1:13" outlineLevel="2" x14ac:dyDescent="0.25">
      <c r="A98" s="6" t="s">
        <v>254</v>
      </c>
      <c r="B98" s="6">
        <v>3</v>
      </c>
      <c r="C98" s="20" t="s">
        <v>255</v>
      </c>
      <c r="D98" s="6">
        <v>5</v>
      </c>
      <c r="E98" s="6"/>
      <c r="F98" s="7">
        <f>$B$3*E95*$H$3</f>
        <v>6.4000000000000021</v>
      </c>
      <c r="G98" s="6">
        <f>ROUND(F98/$F$2,2)</f>
        <v>0.8</v>
      </c>
      <c r="H98" s="8">
        <f>WORKDAY($H$86,INT(M98/$F$2))</f>
        <v>46387</v>
      </c>
      <c r="I98" s="8">
        <f>WORKDAY($H$86,INT((M98+F98)/$F$2-0.000001))</f>
        <v>46387</v>
      </c>
      <c r="J98" s="20" t="s">
        <v>51</v>
      </c>
      <c r="K98" s="6"/>
      <c r="L98" s="6"/>
      <c r="M98" s="7">
        <f>SUMIFS($F$6:$F97,$D$6:$D97,$D98,$B$6:$B97,3)</f>
        <v>65.599999999999994</v>
      </c>
    </row>
    <row r="99" spans="1:13" x14ac:dyDescent="0.25">
      <c r="A99" s="9" t="s">
        <v>256</v>
      </c>
      <c r="B99" s="9">
        <v>1</v>
      </c>
      <c r="C99" s="9" t="s">
        <v>29</v>
      </c>
      <c r="D99" s="9">
        <v>6</v>
      </c>
      <c r="E99" s="9">
        <f>SUMIFS(E100:E119,B100:B119,2)</f>
        <v>17</v>
      </c>
      <c r="F99" s="10">
        <f>SUMIFS(F100:F119,B100:B119,2)</f>
        <v>68</v>
      </c>
      <c r="G99" s="9">
        <f>ROUND(F99/$F$2,1)</f>
        <v>8.5</v>
      </c>
      <c r="H99" s="15">
        <f>$B$2+$D$2*(D99-1)</f>
        <v>46391</v>
      </c>
      <c r="I99" s="15">
        <f>H99+$D$2-1</f>
        <v>46404</v>
      </c>
      <c r="J99" s="9" t="s">
        <v>51</v>
      </c>
      <c r="K99" s="9"/>
      <c r="L99" s="9"/>
      <c r="M99" s="10"/>
    </row>
    <row r="100" spans="1:13" outlineLevel="1" x14ac:dyDescent="0.25">
      <c r="A100" s="16" t="s">
        <v>257</v>
      </c>
      <c r="B100" s="16">
        <v>2</v>
      </c>
      <c r="C100" s="17" t="s">
        <v>258</v>
      </c>
      <c r="D100" s="16">
        <v>6</v>
      </c>
      <c r="E100" s="17">
        <v>5</v>
      </c>
      <c r="F100" s="18">
        <f>SUM(F101:F103)</f>
        <v>20</v>
      </c>
      <c r="G100" s="16">
        <f>ROUND(F100/$F$2,1)</f>
        <v>2.5</v>
      </c>
      <c r="H100" s="19">
        <f>MIN(H101:H103)</f>
        <v>46391</v>
      </c>
      <c r="I100" s="19">
        <f>MAX(I101:I103)</f>
        <v>46393</v>
      </c>
      <c r="J100" s="17" t="s">
        <v>51</v>
      </c>
      <c r="K100" s="17" t="s">
        <v>54</v>
      </c>
      <c r="L100" s="17" t="s">
        <v>259</v>
      </c>
      <c r="M100" s="18"/>
    </row>
    <row r="101" spans="1:13" outlineLevel="2" x14ac:dyDescent="0.25">
      <c r="A101" s="6" t="s">
        <v>260</v>
      </c>
      <c r="B101" s="6">
        <v>3</v>
      </c>
      <c r="C101" s="20" t="s">
        <v>261</v>
      </c>
      <c r="D101" s="6">
        <v>6</v>
      </c>
      <c r="E101" s="6"/>
      <c r="F101" s="7">
        <f>$B$3*E100*$D$3</f>
        <v>4</v>
      </c>
      <c r="G101" s="6">
        <f>ROUND(F101/$F$2,2)</f>
        <v>0.5</v>
      </c>
      <c r="H101" s="8">
        <f>WORKDAY($H$99,INT(M101/$F$2))</f>
        <v>46391</v>
      </c>
      <c r="I101" s="8">
        <f>WORKDAY($H$99,INT((M101+F101)/$F$2-0.000001))</f>
        <v>46391</v>
      </c>
      <c r="J101" s="20" t="s">
        <v>51</v>
      </c>
      <c r="K101" s="6"/>
      <c r="L101" s="6"/>
      <c r="M101" s="7">
        <f>SUMIFS($F$6:$F100,$D$6:$D100,$D101,$B$6:$B100,3)</f>
        <v>0</v>
      </c>
    </row>
    <row r="102" spans="1:13" outlineLevel="2" x14ac:dyDescent="0.25">
      <c r="A102" s="6" t="s">
        <v>262</v>
      </c>
      <c r="B102" s="6">
        <v>3</v>
      </c>
      <c r="C102" s="20" t="s">
        <v>263</v>
      </c>
      <c r="D102" s="6">
        <v>6</v>
      </c>
      <c r="E102" s="6"/>
      <c r="F102" s="7">
        <f>$B$3*E100*$F$3</f>
        <v>12</v>
      </c>
      <c r="G102" s="6">
        <f>ROUND(F102/$F$2,2)</f>
        <v>1.5</v>
      </c>
      <c r="H102" s="8">
        <f>WORKDAY($H$99,INT(M102/$F$2))</f>
        <v>46391</v>
      </c>
      <c r="I102" s="8">
        <f>WORKDAY($H$99,INT((M102+F102)/$F$2-0.000001))</f>
        <v>46392</v>
      </c>
      <c r="J102" s="20" t="s">
        <v>51</v>
      </c>
      <c r="K102" s="6"/>
      <c r="L102" s="6"/>
      <c r="M102" s="7">
        <f>SUMIFS($F$6:$F101,$D$6:$D101,$D102,$B$6:$B101,3)</f>
        <v>4</v>
      </c>
    </row>
    <row r="103" spans="1:13" outlineLevel="2" x14ac:dyDescent="0.25">
      <c r="A103" s="6" t="s">
        <v>264</v>
      </c>
      <c r="B103" s="6">
        <v>3</v>
      </c>
      <c r="C103" s="20" t="s">
        <v>265</v>
      </c>
      <c r="D103" s="6">
        <v>6</v>
      </c>
      <c r="E103" s="6"/>
      <c r="F103" s="7">
        <f>$B$3*E100*$H$3</f>
        <v>4.0000000000000018</v>
      </c>
      <c r="G103" s="6">
        <f>ROUND(F103/$F$2,2)</f>
        <v>0.5</v>
      </c>
      <c r="H103" s="8">
        <f>WORKDAY($H$99,INT(M103/$F$2))</f>
        <v>46393</v>
      </c>
      <c r="I103" s="8">
        <f>WORKDAY($H$99,INT((M103+F103)/$F$2-0.000001))</f>
        <v>46393</v>
      </c>
      <c r="J103" s="20" t="s">
        <v>51</v>
      </c>
      <c r="K103" s="6"/>
      <c r="L103" s="6"/>
      <c r="M103" s="7">
        <f>SUMIFS($F$6:$F102,$D$6:$D102,$D103,$B$6:$B102,3)</f>
        <v>16</v>
      </c>
    </row>
    <row r="104" spans="1:13" outlineLevel="1" x14ac:dyDescent="0.25">
      <c r="A104" s="16" t="s">
        <v>266</v>
      </c>
      <c r="B104" s="16">
        <v>2</v>
      </c>
      <c r="C104" s="17" t="s">
        <v>267</v>
      </c>
      <c r="D104" s="16">
        <v>6</v>
      </c>
      <c r="E104" s="17">
        <v>3</v>
      </c>
      <c r="F104" s="18">
        <f>SUM(F105:F107)</f>
        <v>12</v>
      </c>
      <c r="G104" s="16">
        <f>ROUND(F104/$F$2,1)</f>
        <v>1.5</v>
      </c>
      <c r="H104" s="19">
        <f>MIN(H105:H107)</f>
        <v>46393</v>
      </c>
      <c r="I104" s="19">
        <f>MAX(I105:I107)</f>
        <v>46394</v>
      </c>
      <c r="J104" s="17" t="s">
        <v>51</v>
      </c>
      <c r="K104" s="17" t="s">
        <v>54</v>
      </c>
      <c r="L104" s="17" t="s">
        <v>268</v>
      </c>
      <c r="M104" s="18"/>
    </row>
    <row r="105" spans="1:13" outlineLevel="2" x14ac:dyDescent="0.25">
      <c r="A105" s="6" t="s">
        <v>269</v>
      </c>
      <c r="B105" s="6">
        <v>3</v>
      </c>
      <c r="C105" s="20" t="s">
        <v>270</v>
      </c>
      <c r="D105" s="6">
        <v>6</v>
      </c>
      <c r="E105" s="6"/>
      <c r="F105" s="7">
        <f>$B$3*E104*$D$3</f>
        <v>2.4000000000000004</v>
      </c>
      <c r="G105" s="6">
        <f>ROUND(F105/$F$2,2)</f>
        <v>0.3</v>
      </c>
      <c r="H105" s="8">
        <f>WORKDAY($H$99,INT(M105/$F$2))</f>
        <v>46393</v>
      </c>
      <c r="I105" s="8">
        <f>WORKDAY($H$99,INT((M105+F105)/$F$2-0.000001))</f>
        <v>46393</v>
      </c>
      <c r="J105" s="20" t="s">
        <v>51</v>
      </c>
      <c r="K105" s="6"/>
      <c r="L105" s="6"/>
      <c r="M105" s="7">
        <f>SUMIFS($F$6:$F104,$D$6:$D104,$D105,$B$6:$B104,3)</f>
        <v>20</v>
      </c>
    </row>
    <row r="106" spans="1:13" outlineLevel="2" x14ac:dyDescent="0.25">
      <c r="A106" s="6" t="s">
        <v>271</v>
      </c>
      <c r="B106" s="6">
        <v>3</v>
      </c>
      <c r="C106" s="20" t="s">
        <v>272</v>
      </c>
      <c r="D106" s="6">
        <v>6</v>
      </c>
      <c r="E106" s="6"/>
      <c r="F106" s="7">
        <f>$B$3*E104*$F$3</f>
        <v>7.1999999999999993</v>
      </c>
      <c r="G106" s="6">
        <f>ROUND(F106/$F$2,2)</f>
        <v>0.9</v>
      </c>
      <c r="H106" s="8">
        <f>WORKDAY($H$99,INT(M106/$F$2))</f>
        <v>46393</v>
      </c>
      <c r="I106" s="8">
        <f>WORKDAY($H$99,INT((M106+F106)/$F$2-0.000001))</f>
        <v>46394</v>
      </c>
      <c r="J106" s="20" t="s">
        <v>51</v>
      </c>
      <c r="K106" s="6"/>
      <c r="L106" s="6"/>
      <c r="M106" s="7">
        <f>SUMIFS($F$6:$F105,$D$6:$D105,$D106,$B$6:$B105,3)</f>
        <v>22.4</v>
      </c>
    </row>
    <row r="107" spans="1:13" outlineLevel="2" x14ac:dyDescent="0.25">
      <c r="A107" s="6" t="s">
        <v>273</v>
      </c>
      <c r="B107" s="6">
        <v>3</v>
      </c>
      <c r="C107" s="20" t="s">
        <v>274</v>
      </c>
      <c r="D107" s="6">
        <v>6</v>
      </c>
      <c r="E107" s="6"/>
      <c r="F107" s="7">
        <f>$B$3*E104*$H$3</f>
        <v>2.4000000000000008</v>
      </c>
      <c r="G107" s="6">
        <f>ROUND(F107/$F$2,2)</f>
        <v>0.3</v>
      </c>
      <c r="H107" s="8">
        <f>WORKDAY($H$99,INT(M107/$F$2))</f>
        <v>46394</v>
      </c>
      <c r="I107" s="8">
        <f>WORKDAY($H$99,INT((M107+F107)/$F$2-0.000001))</f>
        <v>46394</v>
      </c>
      <c r="J107" s="20" t="s">
        <v>51</v>
      </c>
      <c r="K107" s="6"/>
      <c r="L107" s="6"/>
      <c r="M107" s="7">
        <f>SUMIFS($F$6:$F106,$D$6:$D106,$D107,$B$6:$B106,3)</f>
        <v>29.599999999999998</v>
      </c>
    </row>
    <row r="108" spans="1:13" outlineLevel="1" x14ac:dyDescent="0.25">
      <c r="A108" s="16" t="s">
        <v>275</v>
      </c>
      <c r="B108" s="16">
        <v>2</v>
      </c>
      <c r="C108" s="17" t="s">
        <v>276</v>
      </c>
      <c r="D108" s="16">
        <v>6</v>
      </c>
      <c r="E108" s="17">
        <v>3</v>
      </c>
      <c r="F108" s="18">
        <f>SUM(F109:F111)</f>
        <v>12</v>
      </c>
      <c r="G108" s="16">
        <f>ROUND(F108/$F$2,1)</f>
        <v>1.5</v>
      </c>
      <c r="H108" s="19">
        <f>MIN(H109:H111)</f>
        <v>46395</v>
      </c>
      <c r="I108" s="19">
        <f>MAX(I109:I111)</f>
        <v>46398</v>
      </c>
      <c r="J108" s="17" t="s">
        <v>51</v>
      </c>
      <c r="K108" s="17" t="s">
        <v>277</v>
      </c>
      <c r="L108" s="17" t="s">
        <v>278</v>
      </c>
      <c r="M108" s="18"/>
    </row>
    <row r="109" spans="1:13" outlineLevel="2" x14ac:dyDescent="0.25">
      <c r="A109" s="6" t="s">
        <v>279</v>
      </c>
      <c r="B109" s="6">
        <v>3</v>
      </c>
      <c r="C109" s="20" t="s">
        <v>280</v>
      </c>
      <c r="D109" s="6">
        <v>6</v>
      </c>
      <c r="E109" s="6"/>
      <c r="F109" s="7">
        <f>$B$3*E108*$D$3</f>
        <v>2.4000000000000004</v>
      </c>
      <c r="G109" s="6">
        <f>ROUND(F109/$F$2,2)</f>
        <v>0.3</v>
      </c>
      <c r="H109" s="8">
        <f>WORKDAY($H$99,INT(M109/$F$2))</f>
        <v>46395</v>
      </c>
      <c r="I109" s="8">
        <f>WORKDAY($H$99,INT((M109+F109)/$F$2-0.000001))</f>
        <v>46395</v>
      </c>
      <c r="J109" s="20" t="s">
        <v>51</v>
      </c>
      <c r="K109" s="6"/>
      <c r="L109" s="6"/>
      <c r="M109" s="7">
        <f>SUMIFS($F$6:$F108,$D$6:$D108,$D109,$B$6:$B108,3)</f>
        <v>32</v>
      </c>
    </row>
    <row r="110" spans="1:13" outlineLevel="2" x14ac:dyDescent="0.25">
      <c r="A110" s="6" t="s">
        <v>281</v>
      </c>
      <c r="B110" s="6">
        <v>3</v>
      </c>
      <c r="C110" s="20" t="s">
        <v>282</v>
      </c>
      <c r="D110" s="6">
        <v>6</v>
      </c>
      <c r="E110" s="6"/>
      <c r="F110" s="7">
        <f>$B$3*E108*$F$3</f>
        <v>7.1999999999999993</v>
      </c>
      <c r="G110" s="6">
        <f>ROUND(F110/$F$2,2)</f>
        <v>0.9</v>
      </c>
      <c r="H110" s="8">
        <f>WORKDAY($H$99,INT(M110/$F$2))</f>
        <v>46395</v>
      </c>
      <c r="I110" s="8">
        <f>WORKDAY($H$99,INT((M110+F110)/$F$2-0.000001))</f>
        <v>46398</v>
      </c>
      <c r="J110" s="20" t="s">
        <v>51</v>
      </c>
      <c r="K110" s="6"/>
      <c r="L110" s="6"/>
      <c r="M110" s="7">
        <f>SUMIFS($F$6:$F109,$D$6:$D109,$D110,$B$6:$B109,3)</f>
        <v>34.4</v>
      </c>
    </row>
    <row r="111" spans="1:13" outlineLevel="2" x14ac:dyDescent="0.25">
      <c r="A111" s="6" t="s">
        <v>283</v>
      </c>
      <c r="B111" s="6">
        <v>3</v>
      </c>
      <c r="C111" s="20" t="s">
        <v>284</v>
      </c>
      <c r="D111" s="6">
        <v>6</v>
      </c>
      <c r="E111" s="6"/>
      <c r="F111" s="7">
        <f>$B$3*E108*$H$3</f>
        <v>2.4000000000000008</v>
      </c>
      <c r="G111" s="6">
        <f>ROUND(F111/$F$2,2)</f>
        <v>0.3</v>
      </c>
      <c r="H111" s="8">
        <f>WORKDAY($H$99,INT(M111/$F$2))</f>
        <v>46398</v>
      </c>
      <c r="I111" s="8">
        <f>WORKDAY($H$99,INT((M111+F111)/$F$2-0.000001))</f>
        <v>46398</v>
      </c>
      <c r="J111" s="20" t="s">
        <v>51</v>
      </c>
      <c r="K111" s="6"/>
      <c r="L111" s="6"/>
      <c r="M111" s="7">
        <f>SUMIFS($F$6:$F110,$D$6:$D110,$D111,$B$6:$B110,3)</f>
        <v>41.599999999999994</v>
      </c>
    </row>
    <row r="112" spans="1:13" outlineLevel="1" x14ac:dyDescent="0.25">
      <c r="A112" s="16" t="s">
        <v>285</v>
      </c>
      <c r="B112" s="16">
        <v>2</v>
      </c>
      <c r="C112" s="17" t="s">
        <v>286</v>
      </c>
      <c r="D112" s="16">
        <v>6</v>
      </c>
      <c r="E112" s="17">
        <v>3</v>
      </c>
      <c r="F112" s="18">
        <f>SUM(F113:F115)</f>
        <v>12</v>
      </c>
      <c r="G112" s="16">
        <f>ROUND(F112/$F$2,1)</f>
        <v>1.5</v>
      </c>
      <c r="H112" s="19">
        <f>MIN(H113:H115)</f>
        <v>46398</v>
      </c>
      <c r="I112" s="19">
        <f>MAX(I113:I115)</f>
        <v>46399</v>
      </c>
      <c r="J112" s="17" t="s">
        <v>51</v>
      </c>
      <c r="K112" s="17" t="s">
        <v>129</v>
      </c>
      <c r="L112" s="17" t="s">
        <v>287</v>
      </c>
      <c r="M112" s="18"/>
    </row>
    <row r="113" spans="1:13" outlineLevel="2" x14ac:dyDescent="0.25">
      <c r="A113" s="6" t="s">
        <v>288</v>
      </c>
      <c r="B113" s="6">
        <v>3</v>
      </c>
      <c r="C113" s="20" t="s">
        <v>289</v>
      </c>
      <c r="D113" s="6">
        <v>6</v>
      </c>
      <c r="E113" s="6"/>
      <c r="F113" s="7">
        <f>$B$3*E112*$D$3</f>
        <v>2.4000000000000004</v>
      </c>
      <c r="G113" s="6">
        <f>ROUND(F113/$F$2,2)</f>
        <v>0.3</v>
      </c>
      <c r="H113" s="8">
        <f>WORKDAY($H$99,INT(M113/$F$2))</f>
        <v>46398</v>
      </c>
      <c r="I113" s="8">
        <f>WORKDAY($H$99,INT((M113+F113)/$F$2-0.000001))</f>
        <v>46398</v>
      </c>
      <c r="J113" s="20" t="s">
        <v>51</v>
      </c>
      <c r="K113" s="6"/>
      <c r="L113" s="6"/>
      <c r="M113" s="7">
        <f>SUMIFS($F$6:$F112,$D$6:$D112,$D113,$B$6:$B112,3)</f>
        <v>43.999999999999993</v>
      </c>
    </row>
    <row r="114" spans="1:13" outlineLevel="2" x14ac:dyDescent="0.25">
      <c r="A114" s="6" t="s">
        <v>290</v>
      </c>
      <c r="B114" s="6">
        <v>3</v>
      </c>
      <c r="C114" s="20" t="s">
        <v>291</v>
      </c>
      <c r="D114" s="6">
        <v>6</v>
      </c>
      <c r="E114" s="6"/>
      <c r="F114" s="7">
        <f>$B$3*E112*$F$3</f>
        <v>7.1999999999999993</v>
      </c>
      <c r="G114" s="6">
        <f>ROUND(F114/$F$2,2)</f>
        <v>0.9</v>
      </c>
      <c r="H114" s="8">
        <f>WORKDAY($H$99,INT(M114/$F$2))</f>
        <v>46398</v>
      </c>
      <c r="I114" s="8">
        <f>WORKDAY($H$99,INT((M114+F114)/$F$2-0.000001))</f>
        <v>46399</v>
      </c>
      <c r="J114" s="20" t="s">
        <v>51</v>
      </c>
      <c r="K114" s="6"/>
      <c r="L114" s="6"/>
      <c r="M114" s="7">
        <f>SUMIFS($F$6:$F113,$D$6:$D113,$D114,$B$6:$B113,3)</f>
        <v>46.399999999999991</v>
      </c>
    </row>
    <row r="115" spans="1:13" outlineLevel="2" x14ac:dyDescent="0.25">
      <c r="A115" s="6" t="s">
        <v>292</v>
      </c>
      <c r="B115" s="6">
        <v>3</v>
      </c>
      <c r="C115" s="20" t="s">
        <v>293</v>
      </c>
      <c r="D115" s="6">
        <v>6</v>
      </c>
      <c r="E115" s="6"/>
      <c r="F115" s="7">
        <f>$B$3*E112*$H$3</f>
        <v>2.4000000000000008</v>
      </c>
      <c r="G115" s="6">
        <f>ROUND(F115/$F$2,2)</f>
        <v>0.3</v>
      </c>
      <c r="H115" s="8">
        <f>WORKDAY($H$99,INT(M115/$F$2))</f>
        <v>46399</v>
      </c>
      <c r="I115" s="8">
        <f>WORKDAY($H$99,INT((M115+F115)/$F$2-0.000001))</f>
        <v>46399</v>
      </c>
      <c r="J115" s="20" t="s">
        <v>51</v>
      </c>
      <c r="K115" s="6"/>
      <c r="L115" s="6"/>
      <c r="M115" s="7">
        <f>SUMIFS($F$6:$F114,$D$6:$D114,$D115,$B$6:$B114,3)</f>
        <v>53.599999999999994</v>
      </c>
    </row>
    <row r="116" spans="1:13" outlineLevel="1" x14ac:dyDescent="0.25">
      <c r="A116" s="16" t="s">
        <v>294</v>
      </c>
      <c r="B116" s="16">
        <v>2</v>
      </c>
      <c r="C116" s="17" t="s">
        <v>295</v>
      </c>
      <c r="D116" s="16">
        <v>6</v>
      </c>
      <c r="E116" s="17">
        <v>3</v>
      </c>
      <c r="F116" s="18">
        <f>SUM(F117:F119)</f>
        <v>12</v>
      </c>
      <c r="G116" s="16">
        <f>ROUND(F116/$F$2,1)</f>
        <v>1.5</v>
      </c>
      <c r="H116" s="19">
        <f>MIN(H117:H119)</f>
        <v>46400</v>
      </c>
      <c r="I116" s="19">
        <f>MAX(I117:I119)</f>
        <v>46401</v>
      </c>
      <c r="J116" s="17" t="s">
        <v>51</v>
      </c>
      <c r="K116" s="17" t="s">
        <v>277</v>
      </c>
      <c r="L116" s="17" t="s">
        <v>296</v>
      </c>
      <c r="M116" s="18"/>
    </row>
    <row r="117" spans="1:13" outlineLevel="2" x14ac:dyDescent="0.25">
      <c r="A117" s="6" t="s">
        <v>297</v>
      </c>
      <c r="B117" s="6">
        <v>3</v>
      </c>
      <c r="C117" s="20" t="s">
        <v>298</v>
      </c>
      <c r="D117" s="6">
        <v>6</v>
      </c>
      <c r="E117" s="6"/>
      <c r="F117" s="7">
        <f>$B$3*E116*$D$3</f>
        <v>2.4000000000000004</v>
      </c>
      <c r="G117" s="6">
        <f>ROUND(F117/$F$2,2)</f>
        <v>0.3</v>
      </c>
      <c r="H117" s="8">
        <f>WORKDAY($H$99,INT(M117/$F$2))</f>
        <v>46400</v>
      </c>
      <c r="I117" s="8">
        <f>WORKDAY($H$99,INT((M117+F117)/$F$2-0.000001))</f>
        <v>46400</v>
      </c>
      <c r="J117" s="20" t="s">
        <v>51</v>
      </c>
      <c r="K117" s="6"/>
      <c r="L117" s="6"/>
      <c r="M117" s="7">
        <f>SUMIFS($F$6:$F116,$D$6:$D116,$D117,$B$6:$B116,3)</f>
        <v>55.999999999999993</v>
      </c>
    </row>
    <row r="118" spans="1:13" outlineLevel="2" x14ac:dyDescent="0.25">
      <c r="A118" s="6" t="s">
        <v>299</v>
      </c>
      <c r="B118" s="6">
        <v>3</v>
      </c>
      <c r="C118" s="20" t="s">
        <v>300</v>
      </c>
      <c r="D118" s="6">
        <v>6</v>
      </c>
      <c r="E118" s="6"/>
      <c r="F118" s="7">
        <f>$B$3*E116*$F$3</f>
        <v>7.1999999999999993</v>
      </c>
      <c r="G118" s="6">
        <f>ROUND(F118/$F$2,2)</f>
        <v>0.9</v>
      </c>
      <c r="H118" s="8">
        <f>WORKDAY($H$99,INT(M118/$F$2))</f>
        <v>46400</v>
      </c>
      <c r="I118" s="8">
        <f>WORKDAY($H$99,INT((M118+F118)/$F$2-0.000001))</f>
        <v>46401</v>
      </c>
      <c r="J118" s="20" t="s">
        <v>51</v>
      </c>
      <c r="K118" s="6"/>
      <c r="L118" s="6"/>
      <c r="M118" s="7">
        <f>SUMIFS($F$6:$F117,$D$6:$D117,$D118,$B$6:$B117,3)</f>
        <v>58.399999999999991</v>
      </c>
    </row>
    <row r="119" spans="1:13" outlineLevel="2" x14ac:dyDescent="0.25">
      <c r="A119" s="6" t="s">
        <v>301</v>
      </c>
      <c r="B119" s="6">
        <v>3</v>
      </c>
      <c r="C119" s="20" t="s">
        <v>302</v>
      </c>
      <c r="D119" s="6">
        <v>6</v>
      </c>
      <c r="E119" s="6"/>
      <c r="F119" s="7">
        <f>$B$3*E116*$H$3</f>
        <v>2.4000000000000008</v>
      </c>
      <c r="G119" s="6">
        <f>ROUND(F119/$F$2,2)</f>
        <v>0.3</v>
      </c>
      <c r="H119" s="8">
        <f>WORKDAY($H$99,INT(M119/$F$2))</f>
        <v>46401</v>
      </c>
      <c r="I119" s="8">
        <f>WORKDAY($H$99,INT((M119+F119)/$F$2-0.000001))</f>
        <v>46401</v>
      </c>
      <c r="J119" s="20" t="s">
        <v>51</v>
      </c>
      <c r="K119" s="6"/>
      <c r="L119" s="6"/>
      <c r="M119" s="7">
        <f>SUMIFS($F$6:$F118,$D$6:$D118,$D119,$B$6:$B118,3)</f>
        <v>65.599999999999994</v>
      </c>
    </row>
    <row r="120" spans="1:13" x14ac:dyDescent="0.25">
      <c r="C120" s="3" t="s">
        <v>303</v>
      </c>
      <c r="E120" s="3">
        <f>SUMIFS(E6:E119,B6:B119,2)</f>
        <v>106</v>
      </c>
      <c r="F120" s="21">
        <f>SUMIFS(F6:F119,B6:B119,2)</f>
        <v>424</v>
      </c>
      <c r="G120" s="3">
        <f>ROUND(F120/$F$2,1)</f>
        <v>53</v>
      </c>
    </row>
    <row r="122" spans="1:13" x14ac:dyDescent="0.25">
      <c r="C122" s="22" t="s">
        <v>304</v>
      </c>
    </row>
    <row r="123" spans="1:13" x14ac:dyDescent="0.25">
      <c r="C123" s="22" t="s">
        <v>305</v>
      </c>
    </row>
  </sheetData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Resources!$A$2:$A$6</xm:f>
          </x14:formula1>
          <x14:formula2>
            <xm:f>0</xm:f>
          </x14:formula2>
          <xm:sqref>J6:J119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K119"/>
  <sheetViews>
    <sheetView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8.7109375" defaultRowHeight="15" outlineLevelRow="2" x14ac:dyDescent="0.25"/>
  <cols>
    <col min="1" max="1" width="7" customWidth="1"/>
    <col min="2" max="2" width="6" customWidth="1"/>
    <col min="3" max="3" width="52" customWidth="1"/>
    <col min="4" max="5" width="10" customWidth="1"/>
    <col min="6" max="89" width="3.140625" customWidth="1"/>
  </cols>
  <sheetData>
    <row r="1" spans="1:89" ht="16.5" x14ac:dyDescent="0.25">
      <c r="A1" s="4" t="s">
        <v>306</v>
      </c>
    </row>
    <row r="2" spans="1:89" x14ac:dyDescent="0.25">
      <c r="A2" s="22" t="s">
        <v>307</v>
      </c>
    </row>
    <row r="4" spans="1:89" x14ac:dyDescent="0.25">
      <c r="F4" s="23" t="str">
        <f>IF(OR(0=0,DAY(F5)=1),TEXT(F5,"mm/yy"),"")</f>
        <v>10/26</v>
      </c>
      <c r="G4" s="23" t="str">
        <f>IF(OR(1=0,DAY(G5)=1),TEXT(G5,"mm/yy"),"")</f>
        <v/>
      </c>
      <c r="H4" s="23" t="str">
        <f>IF(OR(2=0,DAY(H5)=1),TEXT(H5,"mm/yy"),"")</f>
        <v/>
      </c>
      <c r="I4" s="23" t="str">
        <f>IF(OR(3=0,DAY(I5)=1),TEXT(I5,"mm/yy"),"")</f>
        <v/>
      </c>
      <c r="J4" s="23" t="str">
        <f>IF(OR(4=0,DAY(J5)=1),TEXT(J5,"mm/yy"),"")</f>
        <v/>
      </c>
      <c r="K4" s="23" t="str">
        <f>IF(OR(5=0,DAY(K5)=1),TEXT(K5,"mm/yy"),"")</f>
        <v/>
      </c>
      <c r="L4" s="23" t="str">
        <f>IF(OR(6=0,DAY(L5)=1),TEXT(L5,"mm/yy"),"")</f>
        <v>11/26</v>
      </c>
      <c r="M4" s="23" t="str">
        <f>IF(OR(7=0,DAY(M5)=1),TEXT(M5,"mm/yy"),"")</f>
        <v/>
      </c>
      <c r="N4" s="23" t="str">
        <f>IF(OR(8=0,DAY(N5)=1),TEXT(N5,"mm/yy"),"")</f>
        <v/>
      </c>
      <c r="O4" s="23" t="str">
        <f>IF(OR(9=0,DAY(O5)=1),TEXT(O5,"mm/yy"),"")</f>
        <v/>
      </c>
      <c r="P4" s="23" t="str">
        <f>IF(OR(10=0,DAY(P5)=1),TEXT(P5,"mm/yy"),"")</f>
        <v/>
      </c>
      <c r="Q4" s="23" t="str">
        <f>IF(OR(11=0,DAY(Q5)=1),TEXT(Q5,"mm/yy"),"")</f>
        <v/>
      </c>
      <c r="R4" s="23" t="str">
        <f>IF(OR(12=0,DAY(R5)=1),TEXT(R5,"mm/yy"),"")</f>
        <v/>
      </c>
      <c r="S4" s="23" t="str">
        <f>IF(OR(13=0,DAY(S5)=1),TEXT(S5,"mm/yy"),"")</f>
        <v/>
      </c>
      <c r="T4" s="23" t="str">
        <f>IF(OR(14=0,DAY(T5)=1),TEXT(T5,"mm/yy"),"")</f>
        <v/>
      </c>
      <c r="U4" s="23" t="str">
        <f>IF(OR(15=0,DAY(U5)=1),TEXT(U5,"mm/yy"),"")</f>
        <v/>
      </c>
      <c r="V4" s="23" t="str">
        <f>IF(OR(16=0,DAY(V5)=1),TEXT(V5,"mm/yy"),"")</f>
        <v/>
      </c>
      <c r="W4" s="23" t="str">
        <f>IF(OR(17=0,DAY(W5)=1),TEXT(W5,"mm/yy"),"")</f>
        <v/>
      </c>
      <c r="X4" s="23" t="str">
        <f>IF(OR(18=0,DAY(X5)=1),TEXT(X5,"mm/yy"),"")</f>
        <v/>
      </c>
      <c r="Y4" s="23" t="str">
        <f>IF(OR(19=0,DAY(Y5)=1),TEXT(Y5,"mm/yy"),"")</f>
        <v/>
      </c>
      <c r="Z4" s="23" t="str">
        <f>IF(OR(20=0,DAY(Z5)=1),TEXT(Z5,"mm/yy"),"")</f>
        <v/>
      </c>
      <c r="AA4" s="23" t="str">
        <f>IF(OR(21=0,DAY(AA5)=1),TEXT(AA5,"mm/yy"),"")</f>
        <v/>
      </c>
      <c r="AB4" s="23" t="str">
        <f>IF(OR(22=0,DAY(AB5)=1),TEXT(AB5,"mm/yy"),"")</f>
        <v/>
      </c>
      <c r="AC4" s="23" t="str">
        <f>IF(OR(23=0,DAY(AC5)=1),TEXT(AC5,"mm/yy"),"")</f>
        <v/>
      </c>
      <c r="AD4" s="23" t="str">
        <f>IF(OR(24=0,DAY(AD5)=1),TEXT(AD5,"mm/yy"),"")</f>
        <v/>
      </c>
      <c r="AE4" s="23" t="str">
        <f>IF(OR(25=0,DAY(AE5)=1),TEXT(AE5,"mm/yy"),"")</f>
        <v/>
      </c>
      <c r="AF4" s="23" t="str">
        <f>IF(OR(26=0,DAY(AF5)=1),TEXT(AF5,"mm/yy"),"")</f>
        <v/>
      </c>
      <c r="AG4" s="23" t="str">
        <f>IF(OR(27=0,DAY(AG5)=1),TEXT(AG5,"mm/yy"),"")</f>
        <v/>
      </c>
      <c r="AH4" s="23" t="str">
        <f>IF(OR(28=0,DAY(AH5)=1),TEXT(AH5,"mm/yy"),"")</f>
        <v/>
      </c>
      <c r="AI4" s="23" t="str">
        <f>IF(OR(29=0,DAY(AI5)=1),TEXT(AI5,"mm/yy"),"")</f>
        <v/>
      </c>
      <c r="AJ4" s="23" t="str">
        <f>IF(OR(30=0,DAY(AJ5)=1),TEXT(AJ5,"mm/yy"),"")</f>
        <v/>
      </c>
      <c r="AK4" s="23" t="str">
        <f>IF(OR(31=0,DAY(AK5)=1),TEXT(AK5,"mm/yy"),"")</f>
        <v/>
      </c>
      <c r="AL4" s="23" t="str">
        <f>IF(OR(32=0,DAY(AL5)=1),TEXT(AL5,"mm/yy"),"")</f>
        <v/>
      </c>
      <c r="AM4" s="23" t="str">
        <f>IF(OR(33=0,DAY(AM5)=1),TEXT(AM5,"mm/yy"),"")</f>
        <v/>
      </c>
      <c r="AN4" s="23" t="str">
        <f>IF(OR(34=0,DAY(AN5)=1),TEXT(AN5,"mm/yy"),"")</f>
        <v/>
      </c>
      <c r="AO4" s="23" t="str">
        <f>IF(OR(35=0,DAY(AO5)=1),TEXT(AO5,"mm/yy"),"")</f>
        <v/>
      </c>
      <c r="AP4" s="23" t="str">
        <f>IF(OR(36=0,DAY(AP5)=1),TEXT(AP5,"mm/yy"),"")</f>
        <v>12/26</v>
      </c>
      <c r="AQ4" s="23" t="str">
        <f>IF(OR(37=0,DAY(AQ5)=1),TEXT(AQ5,"mm/yy"),"")</f>
        <v/>
      </c>
      <c r="AR4" s="23" t="str">
        <f>IF(OR(38=0,DAY(AR5)=1),TEXT(AR5,"mm/yy"),"")</f>
        <v/>
      </c>
      <c r="AS4" s="23" t="str">
        <f>IF(OR(39=0,DAY(AS5)=1),TEXT(AS5,"mm/yy"),"")</f>
        <v/>
      </c>
      <c r="AT4" s="23" t="str">
        <f>IF(OR(40=0,DAY(AT5)=1),TEXT(AT5,"mm/yy"),"")</f>
        <v/>
      </c>
      <c r="AU4" s="23" t="str">
        <f>IF(OR(41=0,DAY(AU5)=1),TEXT(AU5,"mm/yy"),"")</f>
        <v/>
      </c>
      <c r="AV4" s="23" t="str">
        <f>IF(OR(42=0,DAY(AV5)=1),TEXT(AV5,"mm/yy"),"")</f>
        <v/>
      </c>
      <c r="AW4" s="23" t="str">
        <f>IF(OR(43=0,DAY(AW5)=1),TEXT(AW5,"mm/yy"),"")</f>
        <v/>
      </c>
      <c r="AX4" s="23" t="str">
        <f>IF(OR(44=0,DAY(AX5)=1),TEXT(AX5,"mm/yy"),"")</f>
        <v/>
      </c>
      <c r="AY4" s="23" t="str">
        <f>IF(OR(45=0,DAY(AY5)=1),TEXT(AY5,"mm/yy"),"")</f>
        <v/>
      </c>
      <c r="AZ4" s="23" t="str">
        <f>IF(OR(46=0,DAY(AZ5)=1),TEXT(AZ5,"mm/yy"),"")</f>
        <v/>
      </c>
      <c r="BA4" s="23" t="str">
        <f>IF(OR(47=0,DAY(BA5)=1),TEXT(BA5,"mm/yy"),"")</f>
        <v/>
      </c>
      <c r="BB4" s="23" t="str">
        <f>IF(OR(48=0,DAY(BB5)=1),TEXT(BB5,"mm/yy"),"")</f>
        <v/>
      </c>
      <c r="BC4" s="23" t="str">
        <f>IF(OR(49=0,DAY(BC5)=1),TEXT(BC5,"mm/yy"),"")</f>
        <v/>
      </c>
      <c r="BD4" s="23" t="str">
        <f>IF(OR(50=0,DAY(BD5)=1),TEXT(BD5,"mm/yy"),"")</f>
        <v/>
      </c>
      <c r="BE4" s="23" t="str">
        <f>IF(OR(51=0,DAY(BE5)=1),TEXT(BE5,"mm/yy"),"")</f>
        <v/>
      </c>
      <c r="BF4" s="23" t="str">
        <f>IF(OR(52=0,DAY(BF5)=1),TEXT(BF5,"mm/yy"),"")</f>
        <v/>
      </c>
      <c r="BG4" s="23" t="str">
        <f>IF(OR(53=0,DAY(BG5)=1),TEXT(BG5,"mm/yy"),"")</f>
        <v/>
      </c>
      <c r="BH4" s="23" t="str">
        <f>IF(OR(54=0,DAY(BH5)=1),TEXT(BH5,"mm/yy"),"")</f>
        <v/>
      </c>
      <c r="BI4" s="23" t="str">
        <f>IF(OR(55=0,DAY(BI5)=1),TEXT(BI5,"mm/yy"),"")</f>
        <v/>
      </c>
      <c r="BJ4" s="23" t="str">
        <f>IF(OR(56=0,DAY(BJ5)=1),TEXT(BJ5,"mm/yy"),"")</f>
        <v/>
      </c>
      <c r="BK4" s="23" t="str">
        <f>IF(OR(57=0,DAY(BK5)=1),TEXT(BK5,"mm/yy"),"")</f>
        <v/>
      </c>
      <c r="BL4" s="23" t="str">
        <f>IF(OR(58=0,DAY(BL5)=1),TEXT(BL5,"mm/yy"),"")</f>
        <v/>
      </c>
      <c r="BM4" s="23" t="str">
        <f>IF(OR(59=0,DAY(BM5)=1),TEXT(BM5,"mm/yy"),"")</f>
        <v/>
      </c>
      <c r="BN4" s="23" t="str">
        <f>IF(OR(60=0,DAY(BN5)=1),TEXT(BN5,"mm/yy"),"")</f>
        <v/>
      </c>
      <c r="BO4" s="23" t="str">
        <f>IF(OR(61=0,DAY(BO5)=1),TEXT(BO5,"mm/yy"),"")</f>
        <v/>
      </c>
      <c r="BP4" s="23" t="str">
        <f>IF(OR(62=0,DAY(BP5)=1),TEXT(BP5,"mm/yy"),"")</f>
        <v/>
      </c>
      <c r="BQ4" s="23" t="str">
        <f>IF(OR(63=0,DAY(BQ5)=1),TEXT(BQ5,"mm/yy"),"")</f>
        <v/>
      </c>
      <c r="BR4" s="23" t="str">
        <f>IF(OR(64=0,DAY(BR5)=1),TEXT(BR5,"mm/yy"),"")</f>
        <v/>
      </c>
      <c r="BS4" s="23" t="str">
        <f>IF(OR(65=0,DAY(BS5)=1),TEXT(BS5,"mm/yy"),"")</f>
        <v/>
      </c>
      <c r="BT4" s="23" t="str">
        <f>IF(OR(66=0,DAY(BT5)=1),TEXT(BT5,"mm/yy"),"")</f>
        <v/>
      </c>
      <c r="BU4" s="23" t="str">
        <f>IF(OR(67=0,DAY(BU5)=1),TEXT(BU5,"mm/yy"),"")</f>
        <v>01/27</v>
      </c>
      <c r="BV4" s="23" t="str">
        <f>IF(OR(68=0,DAY(BV5)=1),TEXT(BV5,"mm/yy"),"")</f>
        <v/>
      </c>
      <c r="BW4" s="23" t="str">
        <f>IF(OR(69=0,DAY(BW5)=1),TEXT(BW5,"mm/yy"),"")</f>
        <v/>
      </c>
      <c r="BX4" s="23" t="str">
        <f>IF(OR(70=0,DAY(BX5)=1),TEXT(BX5,"mm/yy"),"")</f>
        <v/>
      </c>
      <c r="BY4" s="23" t="str">
        <f>IF(OR(71=0,DAY(BY5)=1),TEXT(BY5,"mm/yy"),"")</f>
        <v/>
      </c>
      <c r="BZ4" s="23" t="str">
        <f>IF(OR(72=0,DAY(BZ5)=1),TEXT(BZ5,"mm/yy"),"")</f>
        <v/>
      </c>
      <c r="CA4" s="23" t="str">
        <f>IF(OR(73=0,DAY(CA5)=1),TEXT(CA5,"mm/yy"),"")</f>
        <v/>
      </c>
      <c r="CB4" s="23" t="str">
        <f>IF(OR(74=0,DAY(CB5)=1),TEXT(CB5,"mm/yy"),"")</f>
        <v/>
      </c>
      <c r="CC4" s="23" t="str">
        <f>IF(OR(75=0,DAY(CC5)=1),TEXT(CC5,"mm/yy"),"")</f>
        <v/>
      </c>
      <c r="CD4" s="23" t="str">
        <f>IF(OR(76=0,DAY(CD5)=1),TEXT(CD5,"mm/yy"),"")</f>
        <v/>
      </c>
      <c r="CE4" s="23" t="str">
        <f>IF(OR(77=0,DAY(CE5)=1),TEXT(CE5,"mm/yy"),"")</f>
        <v/>
      </c>
      <c r="CF4" s="23" t="str">
        <f>IF(OR(78=0,DAY(CF5)=1),TEXT(CF5,"mm/yy"),"")</f>
        <v/>
      </c>
      <c r="CG4" s="23" t="str">
        <f>IF(OR(79=0,DAY(CG5)=1),TEXT(CG5,"mm/yy"),"")</f>
        <v/>
      </c>
      <c r="CH4" s="23" t="str">
        <f>IF(OR(80=0,DAY(CH5)=1),TEXT(CH5,"mm/yy"),"")</f>
        <v/>
      </c>
      <c r="CI4" s="23" t="str">
        <f>IF(OR(81=0,DAY(CI5)=1),TEXT(CI5,"mm/yy"),"")</f>
        <v/>
      </c>
      <c r="CJ4" s="23" t="str">
        <f>IF(OR(82=0,DAY(CJ5)=1),TEXT(CJ5,"mm/yy"),"")</f>
        <v/>
      </c>
      <c r="CK4" s="23" t="str">
        <f>IF(OR(83=0,DAY(CK5)=1),TEXT(CK5,"mm/yy"),"")</f>
        <v/>
      </c>
    </row>
    <row r="5" spans="1:89" ht="18" customHeight="1" x14ac:dyDescent="0.25">
      <c r="A5" s="5" t="s">
        <v>39</v>
      </c>
      <c r="B5" s="5" t="s">
        <v>40</v>
      </c>
      <c r="C5" s="5" t="s">
        <v>41</v>
      </c>
      <c r="D5" s="5" t="s">
        <v>44</v>
      </c>
      <c r="E5" s="5" t="s">
        <v>45</v>
      </c>
      <c r="F5" s="24">
        <f>WBS!$B$2+0</f>
        <v>46321</v>
      </c>
      <c r="G5" s="24">
        <f>WBS!$B$2+1</f>
        <v>46322</v>
      </c>
      <c r="H5" s="24">
        <f>WBS!$B$2+2</f>
        <v>46323</v>
      </c>
      <c r="I5" s="24">
        <f>WBS!$B$2+3</f>
        <v>46324</v>
      </c>
      <c r="J5" s="24">
        <f>WBS!$B$2+4</f>
        <v>46325</v>
      </c>
      <c r="K5" s="24">
        <f>WBS!$B$2+5</f>
        <v>46326</v>
      </c>
      <c r="L5" s="24">
        <f>WBS!$B$2+6</f>
        <v>46327</v>
      </c>
      <c r="M5" s="24">
        <f>WBS!$B$2+7</f>
        <v>46328</v>
      </c>
      <c r="N5" s="24">
        <f>WBS!$B$2+8</f>
        <v>46329</v>
      </c>
      <c r="O5" s="24">
        <f>WBS!$B$2+9</f>
        <v>46330</v>
      </c>
      <c r="P5" s="24">
        <f>WBS!$B$2+10</f>
        <v>46331</v>
      </c>
      <c r="Q5" s="24">
        <f>WBS!$B$2+11</f>
        <v>46332</v>
      </c>
      <c r="R5" s="24">
        <f>WBS!$B$2+12</f>
        <v>46333</v>
      </c>
      <c r="S5" s="24">
        <f>WBS!$B$2+13</f>
        <v>46334</v>
      </c>
      <c r="T5" s="24">
        <f>WBS!$B$2+14</f>
        <v>46335</v>
      </c>
      <c r="U5" s="24">
        <f>WBS!$B$2+15</f>
        <v>46336</v>
      </c>
      <c r="V5" s="24">
        <f>WBS!$B$2+16</f>
        <v>46337</v>
      </c>
      <c r="W5" s="24">
        <f>WBS!$B$2+17</f>
        <v>46338</v>
      </c>
      <c r="X5" s="24">
        <f>WBS!$B$2+18</f>
        <v>46339</v>
      </c>
      <c r="Y5" s="24">
        <f>WBS!$B$2+19</f>
        <v>46340</v>
      </c>
      <c r="Z5" s="24">
        <f>WBS!$B$2+20</f>
        <v>46341</v>
      </c>
      <c r="AA5" s="24">
        <f>WBS!$B$2+21</f>
        <v>46342</v>
      </c>
      <c r="AB5" s="24">
        <f>WBS!$B$2+22</f>
        <v>46343</v>
      </c>
      <c r="AC5" s="24">
        <f>WBS!$B$2+23</f>
        <v>46344</v>
      </c>
      <c r="AD5" s="24">
        <f>WBS!$B$2+24</f>
        <v>46345</v>
      </c>
      <c r="AE5" s="24">
        <f>WBS!$B$2+25</f>
        <v>46346</v>
      </c>
      <c r="AF5" s="24">
        <f>WBS!$B$2+26</f>
        <v>46347</v>
      </c>
      <c r="AG5" s="24">
        <f>WBS!$B$2+27</f>
        <v>46348</v>
      </c>
      <c r="AH5" s="24">
        <f>WBS!$B$2+28</f>
        <v>46349</v>
      </c>
      <c r="AI5" s="24">
        <f>WBS!$B$2+29</f>
        <v>46350</v>
      </c>
      <c r="AJ5" s="24">
        <f>WBS!$B$2+30</f>
        <v>46351</v>
      </c>
      <c r="AK5" s="24">
        <f>WBS!$B$2+31</f>
        <v>46352</v>
      </c>
      <c r="AL5" s="24">
        <f>WBS!$B$2+32</f>
        <v>46353</v>
      </c>
      <c r="AM5" s="24">
        <f>WBS!$B$2+33</f>
        <v>46354</v>
      </c>
      <c r="AN5" s="24">
        <f>WBS!$B$2+34</f>
        <v>46355</v>
      </c>
      <c r="AO5" s="24">
        <f>WBS!$B$2+35</f>
        <v>46356</v>
      </c>
      <c r="AP5" s="24">
        <f>WBS!$B$2+36</f>
        <v>46357</v>
      </c>
      <c r="AQ5" s="24">
        <f>WBS!$B$2+37</f>
        <v>46358</v>
      </c>
      <c r="AR5" s="24">
        <f>WBS!$B$2+38</f>
        <v>46359</v>
      </c>
      <c r="AS5" s="24">
        <f>WBS!$B$2+39</f>
        <v>46360</v>
      </c>
      <c r="AT5" s="24">
        <f>WBS!$B$2+40</f>
        <v>46361</v>
      </c>
      <c r="AU5" s="24">
        <f>WBS!$B$2+41</f>
        <v>46362</v>
      </c>
      <c r="AV5" s="24">
        <f>WBS!$B$2+42</f>
        <v>46363</v>
      </c>
      <c r="AW5" s="24">
        <f>WBS!$B$2+43</f>
        <v>46364</v>
      </c>
      <c r="AX5" s="24">
        <f>WBS!$B$2+44</f>
        <v>46365</v>
      </c>
      <c r="AY5" s="24">
        <f>WBS!$B$2+45</f>
        <v>46366</v>
      </c>
      <c r="AZ5" s="24">
        <f>WBS!$B$2+46</f>
        <v>46367</v>
      </c>
      <c r="BA5" s="24">
        <f>WBS!$B$2+47</f>
        <v>46368</v>
      </c>
      <c r="BB5" s="24">
        <f>WBS!$B$2+48</f>
        <v>46369</v>
      </c>
      <c r="BC5" s="24">
        <f>WBS!$B$2+49</f>
        <v>46370</v>
      </c>
      <c r="BD5" s="24">
        <f>WBS!$B$2+50</f>
        <v>46371</v>
      </c>
      <c r="BE5" s="24">
        <f>WBS!$B$2+51</f>
        <v>46372</v>
      </c>
      <c r="BF5" s="24">
        <f>WBS!$B$2+52</f>
        <v>46373</v>
      </c>
      <c r="BG5" s="24">
        <f>WBS!$B$2+53</f>
        <v>46374</v>
      </c>
      <c r="BH5" s="24">
        <f>WBS!$B$2+54</f>
        <v>46375</v>
      </c>
      <c r="BI5" s="24">
        <f>WBS!$B$2+55</f>
        <v>46376</v>
      </c>
      <c r="BJ5" s="24">
        <f>WBS!$B$2+56</f>
        <v>46377</v>
      </c>
      <c r="BK5" s="24">
        <f>WBS!$B$2+57</f>
        <v>46378</v>
      </c>
      <c r="BL5" s="24">
        <f>WBS!$B$2+58</f>
        <v>46379</v>
      </c>
      <c r="BM5" s="24">
        <f>WBS!$B$2+59</f>
        <v>46380</v>
      </c>
      <c r="BN5" s="24">
        <f>WBS!$B$2+60</f>
        <v>46381</v>
      </c>
      <c r="BO5" s="24">
        <f>WBS!$B$2+61</f>
        <v>46382</v>
      </c>
      <c r="BP5" s="24">
        <f>WBS!$B$2+62</f>
        <v>46383</v>
      </c>
      <c r="BQ5" s="24">
        <f>WBS!$B$2+63</f>
        <v>46384</v>
      </c>
      <c r="BR5" s="24">
        <f>WBS!$B$2+64</f>
        <v>46385</v>
      </c>
      <c r="BS5" s="24">
        <f>WBS!$B$2+65</f>
        <v>46386</v>
      </c>
      <c r="BT5" s="24">
        <f>WBS!$B$2+66</f>
        <v>46387</v>
      </c>
      <c r="BU5" s="24">
        <f>WBS!$B$2+67</f>
        <v>46388</v>
      </c>
      <c r="BV5" s="24">
        <f>WBS!$B$2+68</f>
        <v>46389</v>
      </c>
      <c r="BW5" s="24">
        <f>WBS!$B$2+69</f>
        <v>46390</v>
      </c>
      <c r="BX5" s="24">
        <f>WBS!$B$2+70</f>
        <v>46391</v>
      </c>
      <c r="BY5" s="24">
        <f>WBS!$B$2+71</f>
        <v>46392</v>
      </c>
      <c r="BZ5" s="24">
        <f>WBS!$B$2+72</f>
        <v>46393</v>
      </c>
      <c r="CA5" s="24">
        <f>WBS!$B$2+73</f>
        <v>46394</v>
      </c>
      <c r="CB5" s="24">
        <f>WBS!$B$2+74</f>
        <v>46395</v>
      </c>
      <c r="CC5" s="24">
        <f>WBS!$B$2+75</f>
        <v>46396</v>
      </c>
      <c r="CD5" s="24">
        <f>WBS!$B$2+76</f>
        <v>46397</v>
      </c>
      <c r="CE5" s="24">
        <f>WBS!$B$2+77</f>
        <v>46398</v>
      </c>
      <c r="CF5" s="24">
        <f>WBS!$B$2+78</f>
        <v>46399</v>
      </c>
      <c r="CG5" s="24">
        <f>WBS!$B$2+79</f>
        <v>46400</v>
      </c>
      <c r="CH5" s="24">
        <f>WBS!$B$2+80</f>
        <v>46401</v>
      </c>
      <c r="CI5" s="24">
        <f>WBS!$B$2+81</f>
        <v>46402</v>
      </c>
      <c r="CJ5" s="24">
        <f>WBS!$B$2+82</f>
        <v>46403</v>
      </c>
      <c r="CK5" s="24">
        <f>WBS!$B$2+83</f>
        <v>46404</v>
      </c>
    </row>
    <row r="6" spans="1:89" x14ac:dyDescent="0.25">
      <c r="A6" s="25" t="str">
        <f>WBS!A6</f>
        <v>1</v>
      </c>
      <c r="B6" s="25">
        <f>WBS!B6</f>
        <v>1</v>
      </c>
      <c r="C6" s="25" t="str">
        <f>WBS!C6</f>
        <v>Sprint 1</v>
      </c>
      <c r="D6" s="26">
        <f>WBS!H6</f>
        <v>46321</v>
      </c>
      <c r="E6" s="26">
        <f>WBS!I6</f>
        <v>46334</v>
      </c>
    </row>
    <row r="7" spans="1:89" outlineLevel="1" x14ac:dyDescent="0.25">
      <c r="A7" s="27" t="str">
        <f>WBS!A7</f>
        <v>1.1</v>
      </c>
      <c r="B7" s="27">
        <f>WBS!B7</f>
        <v>2</v>
      </c>
      <c r="C7" s="27" t="str">
        <f>WBS!C7</f>
        <v>PB01 - Khởi tạo dự án .NET 8 + MySQL</v>
      </c>
      <c r="D7" s="28">
        <f>WBS!H7</f>
        <v>46321</v>
      </c>
      <c r="E7" s="28">
        <f>WBS!I7</f>
        <v>46323</v>
      </c>
    </row>
    <row r="8" spans="1:89" outlineLevel="2" x14ac:dyDescent="0.25">
      <c r="A8" s="29" t="str">
        <f>WBS!A8</f>
        <v>1.1.1</v>
      </c>
      <c r="B8" s="29">
        <f>WBS!B8</f>
        <v>3</v>
      </c>
      <c r="C8" s="29" t="str">
        <f>WBS!C8</f>
        <v>Phân tích và thiết kế PB01</v>
      </c>
      <c r="D8" s="30">
        <f>WBS!H8</f>
        <v>46321</v>
      </c>
      <c r="E8" s="30">
        <f>WBS!I8</f>
        <v>46321</v>
      </c>
    </row>
    <row r="9" spans="1:89" outlineLevel="2" x14ac:dyDescent="0.25">
      <c r="A9" s="29" t="str">
        <f>WBS!A9</f>
        <v>1.1.2</v>
      </c>
      <c r="B9" s="29">
        <f>WBS!B9</f>
        <v>3</v>
      </c>
      <c r="C9" s="29" t="str">
        <f>WBS!C9</f>
        <v>Lập trình PB01</v>
      </c>
      <c r="D9" s="30">
        <f>WBS!H9</f>
        <v>46321</v>
      </c>
      <c r="E9" s="30">
        <f>WBS!I9</f>
        <v>46322</v>
      </c>
    </row>
    <row r="10" spans="1:89" outlineLevel="2" x14ac:dyDescent="0.25">
      <c r="A10" s="29" t="str">
        <f>WBS!A10</f>
        <v>1.1.3</v>
      </c>
      <c r="B10" s="29">
        <f>WBS!B10</f>
        <v>3</v>
      </c>
      <c r="C10" s="29" t="str">
        <f>WBS!C10</f>
        <v>Kiểm thử PB01</v>
      </c>
      <c r="D10" s="30">
        <f>WBS!H10</f>
        <v>46323</v>
      </c>
      <c r="E10" s="30">
        <f>WBS!I10</f>
        <v>46323</v>
      </c>
    </row>
    <row r="11" spans="1:89" outlineLevel="1" x14ac:dyDescent="0.25">
      <c r="A11" s="27" t="str">
        <f>WBS!A11</f>
        <v>1.2</v>
      </c>
      <c r="B11" s="27">
        <f>WBS!B11</f>
        <v>2</v>
      </c>
      <c r="C11" s="27" t="str">
        <f>WBS!C11</f>
        <v>PB02 - Đăng nhập và phân quyền theo vai trò</v>
      </c>
      <c r="D11" s="28">
        <f>WBS!H11</f>
        <v>46323</v>
      </c>
      <c r="E11" s="28">
        <f>WBS!I11</f>
        <v>46325</v>
      </c>
    </row>
    <row r="12" spans="1:89" outlineLevel="2" x14ac:dyDescent="0.25">
      <c r="A12" s="29" t="str">
        <f>WBS!A12</f>
        <v>1.2.1</v>
      </c>
      <c r="B12" s="29">
        <f>WBS!B12</f>
        <v>3</v>
      </c>
      <c r="C12" s="29" t="str">
        <f>WBS!C12</f>
        <v>Phân tích và thiết kế PB02</v>
      </c>
      <c r="D12" s="30">
        <f>WBS!H12</f>
        <v>46323</v>
      </c>
      <c r="E12" s="30">
        <f>WBS!I12</f>
        <v>46323</v>
      </c>
    </row>
    <row r="13" spans="1:89" outlineLevel="2" x14ac:dyDescent="0.25">
      <c r="A13" s="29" t="str">
        <f>WBS!A13</f>
        <v>1.2.2</v>
      </c>
      <c r="B13" s="29">
        <f>WBS!B13</f>
        <v>3</v>
      </c>
      <c r="C13" s="29" t="str">
        <f>WBS!C13</f>
        <v>Lập trình PB02</v>
      </c>
      <c r="D13" s="30">
        <f>WBS!H13</f>
        <v>46324</v>
      </c>
      <c r="E13" s="30">
        <f>WBS!I13</f>
        <v>46325</v>
      </c>
    </row>
    <row r="14" spans="1:89" outlineLevel="2" x14ac:dyDescent="0.25">
      <c r="A14" s="29" t="str">
        <f>WBS!A14</f>
        <v>1.2.3</v>
      </c>
      <c r="B14" s="29">
        <f>WBS!B14</f>
        <v>3</v>
      </c>
      <c r="C14" s="29" t="str">
        <f>WBS!C14</f>
        <v>Kiểm thử PB02</v>
      </c>
      <c r="D14" s="30">
        <f>WBS!H14</f>
        <v>46325</v>
      </c>
      <c r="E14" s="30">
        <f>WBS!I14</f>
        <v>46325</v>
      </c>
    </row>
    <row r="15" spans="1:89" outlineLevel="1" x14ac:dyDescent="0.25">
      <c r="A15" s="27" t="str">
        <f>WBS!A15</f>
        <v>1.3</v>
      </c>
      <c r="B15" s="27">
        <f>WBS!B15</f>
        <v>2</v>
      </c>
      <c r="C15" s="27" t="str">
        <f>WBS!C15</f>
        <v>PB03 - Quản lý tài khoản nhân viên</v>
      </c>
      <c r="D15" s="28">
        <f>WBS!H15</f>
        <v>46328</v>
      </c>
      <c r="E15" s="28">
        <f>WBS!I15</f>
        <v>46329</v>
      </c>
    </row>
    <row r="16" spans="1:89" outlineLevel="2" x14ac:dyDescent="0.25">
      <c r="A16" s="29" t="str">
        <f>WBS!A16</f>
        <v>1.3.1</v>
      </c>
      <c r="B16" s="29">
        <f>WBS!B16</f>
        <v>3</v>
      </c>
      <c r="C16" s="29" t="str">
        <f>WBS!C16</f>
        <v>Phân tích và thiết kế PB03</v>
      </c>
      <c r="D16" s="30">
        <f>WBS!H16</f>
        <v>46328</v>
      </c>
      <c r="E16" s="30">
        <f>WBS!I16</f>
        <v>46328</v>
      </c>
    </row>
    <row r="17" spans="1:5" outlineLevel="2" x14ac:dyDescent="0.25">
      <c r="A17" s="29" t="str">
        <f>WBS!A17</f>
        <v>1.3.2</v>
      </c>
      <c r="B17" s="29">
        <f>WBS!B17</f>
        <v>3</v>
      </c>
      <c r="C17" s="29" t="str">
        <f>WBS!C17</f>
        <v>Lập trình PB03</v>
      </c>
      <c r="D17" s="30">
        <f>WBS!H17</f>
        <v>46328</v>
      </c>
      <c r="E17" s="30">
        <f>WBS!I17</f>
        <v>46329</v>
      </c>
    </row>
    <row r="18" spans="1:5" outlineLevel="2" x14ac:dyDescent="0.25">
      <c r="A18" s="29" t="str">
        <f>WBS!A18</f>
        <v>1.3.3</v>
      </c>
      <c r="B18" s="29">
        <f>WBS!B18</f>
        <v>3</v>
      </c>
      <c r="C18" s="29" t="str">
        <f>WBS!C18</f>
        <v>Kiểm thử PB03</v>
      </c>
      <c r="D18" s="30">
        <f>WBS!H18</f>
        <v>46329</v>
      </c>
      <c r="E18" s="30">
        <f>WBS!I18</f>
        <v>46329</v>
      </c>
    </row>
    <row r="19" spans="1:5" x14ac:dyDescent="0.25">
      <c r="A19" s="25" t="str">
        <f>WBS!A19</f>
        <v>2</v>
      </c>
      <c r="B19" s="25">
        <f>WBS!B19</f>
        <v>1</v>
      </c>
      <c r="C19" s="25" t="str">
        <f>WBS!C19</f>
        <v>Sprint 2</v>
      </c>
      <c r="D19" s="26">
        <f>WBS!H19</f>
        <v>46335</v>
      </c>
      <c r="E19" s="26">
        <f>WBS!I19</f>
        <v>46348</v>
      </c>
    </row>
    <row r="20" spans="1:5" outlineLevel="1" x14ac:dyDescent="0.25">
      <c r="A20" s="27" t="str">
        <f>WBS!A20</f>
        <v>2.1</v>
      </c>
      <c r="B20" s="27">
        <f>WBS!B20</f>
        <v>2</v>
      </c>
      <c r="C20" s="27" t="str">
        <f>WBS!C20</f>
        <v>PB04 - Nhận mã đơn hàng từ website bán hàng (API)</v>
      </c>
      <c r="D20" s="28">
        <f>WBS!H20</f>
        <v>46335</v>
      </c>
      <c r="E20" s="28">
        <f>WBS!I20</f>
        <v>46337</v>
      </c>
    </row>
    <row r="21" spans="1:5" outlineLevel="2" x14ac:dyDescent="0.25">
      <c r="A21" s="29" t="str">
        <f>WBS!A21</f>
        <v>2.1.1</v>
      </c>
      <c r="B21" s="29">
        <f>WBS!B21</f>
        <v>3</v>
      </c>
      <c r="C21" s="29" t="str">
        <f>WBS!C21</f>
        <v>Phân tích và thiết kế PB04</v>
      </c>
      <c r="D21" s="30">
        <f>WBS!H21</f>
        <v>46335</v>
      </c>
      <c r="E21" s="30">
        <f>WBS!I21</f>
        <v>46335</v>
      </c>
    </row>
    <row r="22" spans="1:5" outlineLevel="2" x14ac:dyDescent="0.25">
      <c r="A22" s="29" t="str">
        <f>WBS!A22</f>
        <v>2.1.2</v>
      </c>
      <c r="B22" s="29">
        <f>WBS!B22</f>
        <v>3</v>
      </c>
      <c r="C22" s="29" t="str">
        <f>WBS!C22</f>
        <v>Lập trình PB04</v>
      </c>
      <c r="D22" s="30">
        <f>WBS!H22</f>
        <v>46335</v>
      </c>
      <c r="E22" s="30">
        <f>WBS!I22</f>
        <v>46336</v>
      </c>
    </row>
    <row r="23" spans="1:5" outlineLevel="2" x14ac:dyDescent="0.25">
      <c r="A23" s="29" t="str">
        <f>WBS!A23</f>
        <v>2.1.3</v>
      </c>
      <c r="B23" s="29">
        <f>WBS!B23</f>
        <v>3</v>
      </c>
      <c r="C23" s="29" t="str">
        <f>WBS!C23</f>
        <v>Kiểm thử PB04</v>
      </c>
      <c r="D23" s="30">
        <f>WBS!H23</f>
        <v>46337</v>
      </c>
      <c r="E23" s="30">
        <f>WBS!I23</f>
        <v>46337</v>
      </c>
    </row>
    <row r="24" spans="1:5" outlineLevel="1" x14ac:dyDescent="0.25">
      <c r="A24" s="27" t="str">
        <f>WBS!A24</f>
        <v>2.2</v>
      </c>
      <c r="B24" s="27">
        <f>WBS!B24</f>
        <v>2</v>
      </c>
      <c r="C24" s="27" t="str">
        <f>WBS!C24</f>
        <v>PB05 - Gửi yêu cầu giao hàng đến nhận hàng từ công ty</v>
      </c>
      <c r="D24" s="28">
        <f>WBS!H24</f>
        <v>46337</v>
      </c>
      <c r="E24" s="28">
        <f>WBS!I24</f>
        <v>46338</v>
      </c>
    </row>
    <row r="25" spans="1:5" outlineLevel="2" x14ac:dyDescent="0.25">
      <c r="A25" s="29" t="str">
        <f>WBS!A25</f>
        <v>2.2.1</v>
      </c>
      <c r="B25" s="29">
        <f>WBS!B25</f>
        <v>3</v>
      </c>
      <c r="C25" s="29" t="str">
        <f>WBS!C25</f>
        <v>Phân tích và thiết kế PB05</v>
      </c>
      <c r="D25" s="30">
        <f>WBS!H25</f>
        <v>46337</v>
      </c>
      <c r="E25" s="30">
        <f>WBS!I25</f>
        <v>46337</v>
      </c>
    </row>
    <row r="26" spans="1:5" outlineLevel="2" x14ac:dyDescent="0.25">
      <c r="A26" s="29" t="str">
        <f>WBS!A26</f>
        <v>2.2.2</v>
      </c>
      <c r="B26" s="29">
        <f>WBS!B26</f>
        <v>3</v>
      </c>
      <c r="C26" s="29" t="str">
        <f>WBS!C26</f>
        <v>Lập trình PB05</v>
      </c>
      <c r="D26" s="30">
        <f>WBS!H26</f>
        <v>46337</v>
      </c>
      <c r="E26" s="30">
        <f>WBS!I26</f>
        <v>46338</v>
      </c>
    </row>
    <row r="27" spans="1:5" outlineLevel="2" x14ac:dyDescent="0.25">
      <c r="A27" s="29" t="str">
        <f>WBS!A27</f>
        <v>2.2.3</v>
      </c>
      <c r="B27" s="29">
        <f>WBS!B27</f>
        <v>3</v>
      </c>
      <c r="C27" s="29" t="str">
        <f>WBS!C27</f>
        <v>Kiểm thử PB05</v>
      </c>
      <c r="D27" s="30">
        <f>WBS!H27</f>
        <v>46338</v>
      </c>
      <c r="E27" s="30">
        <f>WBS!I27</f>
        <v>46338</v>
      </c>
    </row>
    <row r="28" spans="1:5" outlineLevel="1" x14ac:dyDescent="0.25">
      <c r="A28" s="27" t="str">
        <f>WBS!A28</f>
        <v>2.3</v>
      </c>
      <c r="B28" s="27">
        <f>WBS!B28</f>
        <v>2</v>
      </c>
      <c r="C28" s="27" t="str">
        <f>WBS!C28</f>
        <v>PB06 - Cập nhật trạng thái đơn hàng tuần tự</v>
      </c>
      <c r="D28" s="28">
        <f>WBS!H28</f>
        <v>46339</v>
      </c>
      <c r="E28" s="28">
        <f>WBS!I28</f>
        <v>46342</v>
      </c>
    </row>
    <row r="29" spans="1:5" outlineLevel="2" x14ac:dyDescent="0.25">
      <c r="A29" s="29" t="str">
        <f>WBS!A29</f>
        <v>2.3.1</v>
      </c>
      <c r="B29" s="29">
        <f>WBS!B29</f>
        <v>3</v>
      </c>
      <c r="C29" s="29" t="str">
        <f>WBS!C29</f>
        <v>Phân tích và thiết kế PB06</v>
      </c>
      <c r="D29" s="30">
        <f>WBS!H29</f>
        <v>46339</v>
      </c>
      <c r="E29" s="30">
        <f>WBS!I29</f>
        <v>46339</v>
      </c>
    </row>
    <row r="30" spans="1:5" outlineLevel="2" x14ac:dyDescent="0.25">
      <c r="A30" s="29" t="str">
        <f>WBS!A30</f>
        <v>2.3.2</v>
      </c>
      <c r="B30" s="29">
        <f>WBS!B30</f>
        <v>3</v>
      </c>
      <c r="C30" s="29" t="str">
        <f>WBS!C30</f>
        <v>Lập trình PB06</v>
      </c>
      <c r="D30" s="30">
        <f>WBS!H30</f>
        <v>46339</v>
      </c>
      <c r="E30" s="30">
        <f>WBS!I30</f>
        <v>46342</v>
      </c>
    </row>
    <row r="31" spans="1:5" outlineLevel="2" x14ac:dyDescent="0.25">
      <c r="A31" s="29" t="str">
        <f>WBS!A31</f>
        <v>2.3.3</v>
      </c>
      <c r="B31" s="29">
        <f>WBS!B31</f>
        <v>3</v>
      </c>
      <c r="C31" s="29" t="str">
        <f>WBS!C31</f>
        <v>Kiểm thử PB06</v>
      </c>
      <c r="D31" s="30">
        <f>WBS!H31</f>
        <v>46342</v>
      </c>
      <c r="E31" s="30">
        <f>WBS!I31</f>
        <v>46342</v>
      </c>
    </row>
    <row r="32" spans="1:5" outlineLevel="1" x14ac:dyDescent="0.25">
      <c r="A32" s="27" t="str">
        <f>WBS!A32</f>
        <v>2.4</v>
      </c>
      <c r="B32" s="27">
        <f>WBS!B32</f>
        <v>2</v>
      </c>
      <c r="C32" s="27" t="str">
        <f>WBS!C32</f>
        <v>PB07 - Quản lý bảng báo giá</v>
      </c>
      <c r="D32" s="28">
        <f>WBS!H32</f>
        <v>46342</v>
      </c>
      <c r="E32" s="28">
        <f>WBS!I32</f>
        <v>46343</v>
      </c>
    </row>
    <row r="33" spans="1:5" outlineLevel="2" x14ac:dyDescent="0.25">
      <c r="A33" s="29" t="str">
        <f>WBS!A33</f>
        <v>2.4.1</v>
      </c>
      <c r="B33" s="29">
        <f>WBS!B33</f>
        <v>3</v>
      </c>
      <c r="C33" s="29" t="str">
        <f>WBS!C33</f>
        <v>Phân tích và thiết kế PB07</v>
      </c>
      <c r="D33" s="30">
        <f>WBS!H33</f>
        <v>46342</v>
      </c>
      <c r="E33" s="30">
        <f>WBS!I33</f>
        <v>46342</v>
      </c>
    </row>
    <row r="34" spans="1:5" outlineLevel="2" x14ac:dyDescent="0.25">
      <c r="A34" s="29" t="str">
        <f>WBS!A34</f>
        <v>2.4.2</v>
      </c>
      <c r="B34" s="29">
        <f>WBS!B34</f>
        <v>3</v>
      </c>
      <c r="C34" s="29" t="str">
        <f>WBS!C34</f>
        <v>Lập trình PB07</v>
      </c>
      <c r="D34" s="30">
        <f>WBS!H34</f>
        <v>46342</v>
      </c>
      <c r="E34" s="30">
        <f>WBS!I34</f>
        <v>46343</v>
      </c>
    </row>
    <row r="35" spans="1:5" outlineLevel="2" x14ac:dyDescent="0.25">
      <c r="A35" s="29" t="str">
        <f>WBS!A35</f>
        <v>2.4.3</v>
      </c>
      <c r="B35" s="29">
        <f>WBS!B35</f>
        <v>3</v>
      </c>
      <c r="C35" s="29" t="str">
        <f>WBS!C35</f>
        <v>Kiểm thử PB07</v>
      </c>
      <c r="D35" s="30">
        <f>WBS!H35</f>
        <v>46343</v>
      </c>
      <c r="E35" s="30">
        <f>WBS!I35</f>
        <v>46343</v>
      </c>
    </row>
    <row r="36" spans="1:5" outlineLevel="1" x14ac:dyDescent="0.25">
      <c r="A36" s="27" t="str">
        <f>WBS!A36</f>
        <v>2.5</v>
      </c>
      <c r="B36" s="27">
        <f>WBS!B36</f>
        <v>2</v>
      </c>
      <c r="C36" s="27" t="str">
        <f>WBS!C36</f>
        <v>PB08 - Kiểm tra hàng hóa</v>
      </c>
      <c r="D36" s="28">
        <f>WBS!H36</f>
        <v>46344</v>
      </c>
      <c r="E36" s="28">
        <f>WBS!I36</f>
        <v>46346</v>
      </c>
    </row>
    <row r="37" spans="1:5" outlineLevel="2" x14ac:dyDescent="0.25">
      <c r="A37" s="29" t="str">
        <f>WBS!A37</f>
        <v>2.5.1</v>
      </c>
      <c r="B37" s="29">
        <f>WBS!B37</f>
        <v>3</v>
      </c>
      <c r="C37" s="29" t="str">
        <f>WBS!C37</f>
        <v>Phân tích và thiết kế PB08</v>
      </c>
      <c r="D37" s="30">
        <f>WBS!H37</f>
        <v>46344</v>
      </c>
      <c r="E37" s="30">
        <f>WBS!I37</f>
        <v>46344</v>
      </c>
    </row>
    <row r="38" spans="1:5" outlineLevel="2" x14ac:dyDescent="0.25">
      <c r="A38" s="29" t="str">
        <f>WBS!A38</f>
        <v>2.5.2</v>
      </c>
      <c r="B38" s="29">
        <f>WBS!B38</f>
        <v>3</v>
      </c>
      <c r="C38" s="29" t="str">
        <f>WBS!C38</f>
        <v>Lập trình PB08</v>
      </c>
      <c r="D38" s="30">
        <f>WBS!H38</f>
        <v>46344</v>
      </c>
      <c r="E38" s="30">
        <f>WBS!I38</f>
        <v>46345</v>
      </c>
    </row>
    <row r="39" spans="1:5" outlineLevel="2" x14ac:dyDescent="0.25">
      <c r="A39" s="29" t="str">
        <f>WBS!A39</f>
        <v>2.5.3</v>
      </c>
      <c r="B39" s="29">
        <f>WBS!B39</f>
        <v>3</v>
      </c>
      <c r="C39" s="29" t="str">
        <f>WBS!C39</f>
        <v>Kiểm thử PB08</v>
      </c>
      <c r="D39" s="30">
        <f>WBS!H39</f>
        <v>46346</v>
      </c>
      <c r="E39" s="30">
        <f>WBS!I39</f>
        <v>46346</v>
      </c>
    </row>
    <row r="40" spans="1:5" x14ac:dyDescent="0.25">
      <c r="A40" s="25" t="str">
        <f>WBS!A40</f>
        <v>3</v>
      </c>
      <c r="B40" s="25">
        <f>WBS!B40</f>
        <v>1</v>
      </c>
      <c r="C40" s="25" t="str">
        <f>WBS!C40</f>
        <v>Sprint 3</v>
      </c>
      <c r="D40" s="26">
        <f>WBS!H40</f>
        <v>46349</v>
      </c>
      <c r="E40" s="26">
        <f>WBS!I40</f>
        <v>46362</v>
      </c>
    </row>
    <row r="41" spans="1:5" outlineLevel="1" x14ac:dyDescent="0.25">
      <c r="A41" s="27" t="str">
        <f>WBS!A41</f>
        <v>3.1</v>
      </c>
      <c r="B41" s="27">
        <f>WBS!B41</f>
        <v>2</v>
      </c>
      <c r="C41" s="27" t="str">
        <f>WBS!C41</f>
        <v>PB09 - Đề xuất, chọn phương tiện giao hàng</v>
      </c>
      <c r="D41" s="28">
        <f>WBS!H41</f>
        <v>46349</v>
      </c>
      <c r="E41" s="28">
        <f>WBS!I41</f>
        <v>46350</v>
      </c>
    </row>
    <row r="42" spans="1:5" outlineLevel="2" x14ac:dyDescent="0.25">
      <c r="A42" s="29" t="str">
        <f>WBS!A42</f>
        <v>3.1.1</v>
      </c>
      <c r="B42" s="29">
        <f>WBS!B42</f>
        <v>3</v>
      </c>
      <c r="C42" s="29" t="str">
        <f>WBS!C42</f>
        <v>Phân tích và thiết kế PB09</v>
      </c>
      <c r="D42" s="30">
        <f>WBS!H42</f>
        <v>46349</v>
      </c>
      <c r="E42" s="30">
        <f>WBS!I42</f>
        <v>46349</v>
      </c>
    </row>
    <row r="43" spans="1:5" outlineLevel="2" x14ac:dyDescent="0.25">
      <c r="A43" s="29" t="str">
        <f>WBS!A43</f>
        <v>3.1.2</v>
      </c>
      <c r="B43" s="29">
        <f>WBS!B43</f>
        <v>3</v>
      </c>
      <c r="C43" s="29" t="str">
        <f>WBS!C43</f>
        <v>Lập trình PB09</v>
      </c>
      <c r="D43" s="30">
        <f>WBS!H43</f>
        <v>46349</v>
      </c>
      <c r="E43" s="30">
        <f>WBS!I43</f>
        <v>46350</v>
      </c>
    </row>
    <row r="44" spans="1:5" outlineLevel="2" x14ac:dyDescent="0.25">
      <c r="A44" s="29" t="str">
        <f>WBS!A44</f>
        <v>3.1.3</v>
      </c>
      <c r="B44" s="29">
        <f>WBS!B44</f>
        <v>3</v>
      </c>
      <c r="C44" s="29" t="str">
        <f>WBS!C44</f>
        <v>Kiểm thử PB09</v>
      </c>
      <c r="D44" s="30">
        <f>WBS!H44</f>
        <v>46350</v>
      </c>
      <c r="E44" s="30">
        <f>WBS!I44</f>
        <v>46350</v>
      </c>
    </row>
    <row r="45" spans="1:5" outlineLevel="1" x14ac:dyDescent="0.25">
      <c r="A45" s="27" t="str">
        <f>WBS!A45</f>
        <v>3.2</v>
      </c>
      <c r="B45" s="27">
        <f>WBS!B45</f>
        <v>2</v>
      </c>
      <c r="C45" s="27" t="str">
        <f>WBS!C45</f>
        <v>PB10 - Đưa ra mức giá theo bảng báo giá</v>
      </c>
      <c r="D45" s="28">
        <f>WBS!H45</f>
        <v>46350</v>
      </c>
      <c r="E45" s="28">
        <f>WBS!I45</f>
        <v>46351</v>
      </c>
    </row>
    <row r="46" spans="1:5" outlineLevel="2" x14ac:dyDescent="0.25">
      <c r="A46" s="29" t="str">
        <f>WBS!A46</f>
        <v>3.2.1</v>
      </c>
      <c r="B46" s="29">
        <f>WBS!B46</f>
        <v>3</v>
      </c>
      <c r="C46" s="29" t="str">
        <f>WBS!C46</f>
        <v>Phân tích và thiết kế PB10</v>
      </c>
      <c r="D46" s="30">
        <f>WBS!H46</f>
        <v>46350</v>
      </c>
      <c r="E46" s="30">
        <f>WBS!I46</f>
        <v>46350</v>
      </c>
    </row>
    <row r="47" spans="1:5" outlineLevel="2" x14ac:dyDescent="0.25">
      <c r="A47" s="29" t="str">
        <f>WBS!A47</f>
        <v>3.2.2</v>
      </c>
      <c r="B47" s="29">
        <f>WBS!B47</f>
        <v>3</v>
      </c>
      <c r="C47" s="29" t="str">
        <f>WBS!C47</f>
        <v>Lập trình PB10</v>
      </c>
      <c r="D47" s="30">
        <f>WBS!H47</f>
        <v>46350</v>
      </c>
      <c r="E47" s="30">
        <f>WBS!I47</f>
        <v>46351</v>
      </c>
    </row>
    <row r="48" spans="1:5" outlineLevel="2" x14ac:dyDescent="0.25">
      <c r="A48" s="29" t="str">
        <f>WBS!A48</f>
        <v>3.2.3</v>
      </c>
      <c r="B48" s="29">
        <f>WBS!B48</f>
        <v>3</v>
      </c>
      <c r="C48" s="29" t="str">
        <f>WBS!C48</f>
        <v>Kiểm thử PB10</v>
      </c>
      <c r="D48" s="30">
        <f>WBS!H48</f>
        <v>46351</v>
      </c>
      <c r="E48" s="30">
        <f>WBS!I48</f>
        <v>46351</v>
      </c>
    </row>
    <row r="49" spans="1:5" outlineLevel="1" x14ac:dyDescent="0.25">
      <c r="A49" s="27" t="str">
        <f>WBS!A49</f>
        <v>3.3</v>
      </c>
      <c r="B49" s="27">
        <f>WBS!B49</f>
        <v>2</v>
      </c>
      <c r="C49" s="27" t="str">
        <f>WBS!C49</f>
        <v>PB11 - Nhập thông tin gói hàng</v>
      </c>
      <c r="D49" s="28">
        <f>WBS!H49</f>
        <v>46352</v>
      </c>
      <c r="E49" s="28">
        <f>WBS!I49</f>
        <v>46353</v>
      </c>
    </row>
    <row r="50" spans="1:5" outlineLevel="2" x14ac:dyDescent="0.25">
      <c r="A50" s="29" t="str">
        <f>WBS!A50</f>
        <v>3.3.1</v>
      </c>
      <c r="B50" s="29">
        <f>WBS!B50</f>
        <v>3</v>
      </c>
      <c r="C50" s="29" t="str">
        <f>WBS!C50</f>
        <v>Phân tích và thiết kế PB11</v>
      </c>
      <c r="D50" s="30">
        <f>WBS!H50</f>
        <v>46352</v>
      </c>
      <c r="E50" s="30">
        <f>WBS!I50</f>
        <v>46352</v>
      </c>
    </row>
    <row r="51" spans="1:5" outlineLevel="2" x14ac:dyDescent="0.25">
      <c r="A51" s="29" t="str">
        <f>WBS!A51</f>
        <v>3.3.2</v>
      </c>
      <c r="B51" s="29">
        <f>WBS!B51</f>
        <v>3</v>
      </c>
      <c r="C51" s="29" t="str">
        <f>WBS!C51</f>
        <v>Lập trình PB11</v>
      </c>
      <c r="D51" s="30">
        <f>WBS!H51</f>
        <v>46352</v>
      </c>
      <c r="E51" s="30">
        <f>WBS!I51</f>
        <v>46353</v>
      </c>
    </row>
    <row r="52" spans="1:5" outlineLevel="2" x14ac:dyDescent="0.25">
      <c r="A52" s="29" t="str">
        <f>WBS!A52</f>
        <v>3.3.3</v>
      </c>
      <c r="B52" s="29">
        <f>WBS!B52</f>
        <v>3</v>
      </c>
      <c r="C52" s="29" t="str">
        <f>WBS!C52</f>
        <v>Kiểm thử PB11</v>
      </c>
      <c r="D52" s="30">
        <f>WBS!H52</f>
        <v>46353</v>
      </c>
      <c r="E52" s="30">
        <f>WBS!I52</f>
        <v>46353</v>
      </c>
    </row>
    <row r="53" spans="1:5" outlineLevel="1" x14ac:dyDescent="0.25">
      <c r="A53" s="27" t="str">
        <f>WBS!A53</f>
        <v>3.4</v>
      </c>
      <c r="B53" s="27">
        <f>WBS!B53</f>
        <v>2</v>
      </c>
      <c r="C53" s="27" t="str">
        <f>WBS!C53</f>
        <v>PB12 - Khai báo thông số kèm theo</v>
      </c>
      <c r="D53" s="28">
        <f>WBS!H53</f>
        <v>46353</v>
      </c>
      <c r="E53" s="28">
        <f>WBS!I53</f>
        <v>46356</v>
      </c>
    </row>
    <row r="54" spans="1:5" outlineLevel="2" x14ac:dyDescent="0.25">
      <c r="A54" s="29" t="str">
        <f>WBS!A54</f>
        <v>3.4.1</v>
      </c>
      <c r="B54" s="29">
        <f>WBS!B54</f>
        <v>3</v>
      </c>
      <c r="C54" s="29" t="str">
        <f>WBS!C54</f>
        <v>Phân tích và thiết kế PB12</v>
      </c>
      <c r="D54" s="30">
        <f>WBS!H54</f>
        <v>46353</v>
      </c>
      <c r="E54" s="30">
        <f>WBS!I54</f>
        <v>46353</v>
      </c>
    </row>
    <row r="55" spans="1:5" outlineLevel="2" x14ac:dyDescent="0.25">
      <c r="A55" s="29" t="str">
        <f>WBS!A55</f>
        <v>3.4.2</v>
      </c>
      <c r="B55" s="29">
        <f>WBS!B55</f>
        <v>3</v>
      </c>
      <c r="C55" s="29" t="str">
        <f>WBS!C55</f>
        <v>Lập trình PB12</v>
      </c>
      <c r="D55" s="30">
        <f>WBS!H55</f>
        <v>46353</v>
      </c>
      <c r="E55" s="30">
        <f>WBS!I55</f>
        <v>46356</v>
      </c>
    </row>
    <row r="56" spans="1:5" outlineLevel="2" x14ac:dyDescent="0.25">
      <c r="A56" s="29" t="str">
        <f>WBS!A56</f>
        <v>3.4.3</v>
      </c>
      <c r="B56" s="29">
        <f>WBS!B56</f>
        <v>3</v>
      </c>
      <c r="C56" s="29" t="str">
        <f>WBS!C56</f>
        <v>Kiểm thử PB12</v>
      </c>
      <c r="D56" s="30">
        <f>WBS!H56</f>
        <v>46356</v>
      </c>
      <c r="E56" s="30">
        <f>WBS!I56</f>
        <v>46356</v>
      </c>
    </row>
    <row r="57" spans="1:5" outlineLevel="1" x14ac:dyDescent="0.25">
      <c r="A57" s="27" t="str">
        <f>WBS!A57</f>
        <v>3.5</v>
      </c>
      <c r="B57" s="27">
        <f>WBS!B57</f>
        <v>2</v>
      </c>
      <c r="C57" s="27" t="str">
        <f>WBS!C57</f>
        <v>PB15 - Quản lý danh mục loại hàng, tuyến xe, phương tiện</v>
      </c>
      <c r="D57" s="28">
        <f>WBS!H57</f>
        <v>46357</v>
      </c>
      <c r="E57" s="28">
        <f>WBS!I57</f>
        <v>46358</v>
      </c>
    </row>
    <row r="58" spans="1:5" outlineLevel="2" x14ac:dyDescent="0.25">
      <c r="A58" s="29" t="str">
        <f>WBS!A58</f>
        <v>3.5.1</v>
      </c>
      <c r="B58" s="29">
        <f>WBS!B58</f>
        <v>3</v>
      </c>
      <c r="C58" s="29" t="str">
        <f>WBS!C58</f>
        <v>Phân tích và thiết kế PB15</v>
      </c>
      <c r="D58" s="30">
        <f>WBS!H58</f>
        <v>46357</v>
      </c>
      <c r="E58" s="30">
        <f>WBS!I58</f>
        <v>46357</v>
      </c>
    </row>
    <row r="59" spans="1:5" outlineLevel="2" x14ac:dyDescent="0.25">
      <c r="A59" s="29" t="str">
        <f>WBS!A59</f>
        <v>3.5.2</v>
      </c>
      <c r="B59" s="29">
        <f>WBS!B59</f>
        <v>3</v>
      </c>
      <c r="C59" s="29" t="str">
        <f>WBS!C59</f>
        <v>Lập trình PB15</v>
      </c>
      <c r="D59" s="30">
        <f>WBS!H59</f>
        <v>46357</v>
      </c>
      <c r="E59" s="30">
        <f>WBS!I59</f>
        <v>46358</v>
      </c>
    </row>
    <row r="60" spans="1:5" outlineLevel="2" x14ac:dyDescent="0.25">
      <c r="A60" s="29" t="str">
        <f>WBS!A60</f>
        <v>3.5.3</v>
      </c>
      <c r="B60" s="29">
        <f>WBS!B60</f>
        <v>3</v>
      </c>
      <c r="C60" s="29" t="str">
        <f>WBS!C60</f>
        <v>Kiểm thử PB15</v>
      </c>
      <c r="D60" s="30">
        <f>WBS!H60</f>
        <v>46358</v>
      </c>
      <c r="E60" s="30">
        <f>WBS!I60</f>
        <v>46358</v>
      </c>
    </row>
    <row r="61" spans="1:5" outlineLevel="1" x14ac:dyDescent="0.25">
      <c r="A61" s="27" t="str">
        <f>WBS!A61</f>
        <v>3.6</v>
      </c>
      <c r="B61" s="27">
        <f>WBS!B61</f>
        <v>2</v>
      </c>
      <c r="C61" s="27" t="str">
        <f>WBS!C61</f>
        <v>PB16 - Phân loại hàng hóa theo kích cỡ và tuyến xe</v>
      </c>
      <c r="D61" s="28">
        <f>WBS!H61</f>
        <v>46358</v>
      </c>
      <c r="E61" s="28">
        <f>WBS!I61</f>
        <v>46360</v>
      </c>
    </row>
    <row r="62" spans="1:5" outlineLevel="2" x14ac:dyDescent="0.25">
      <c r="A62" s="29" t="str">
        <f>WBS!A62</f>
        <v>3.6.1</v>
      </c>
      <c r="B62" s="29">
        <f>WBS!B62</f>
        <v>3</v>
      </c>
      <c r="C62" s="29" t="str">
        <f>WBS!C62</f>
        <v>Phân tích và thiết kế PB16</v>
      </c>
      <c r="D62" s="30">
        <f>WBS!H62</f>
        <v>46358</v>
      </c>
      <c r="E62" s="30">
        <f>WBS!I62</f>
        <v>46358</v>
      </c>
    </row>
    <row r="63" spans="1:5" outlineLevel="2" x14ac:dyDescent="0.25">
      <c r="A63" s="29" t="str">
        <f>WBS!A63</f>
        <v>3.6.2</v>
      </c>
      <c r="B63" s="29">
        <f>WBS!B63</f>
        <v>3</v>
      </c>
      <c r="C63" s="29" t="str">
        <f>WBS!C63</f>
        <v>Lập trình PB16</v>
      </c>
      <c r="D63" s="30">
        <f>WBS!H63</f>
        <v>46359</v>
      </c>
      <c r="E63" s="30">
        <f>WBS!I63</f>
        <v>46360</v>
      </c>
    </row>
    <row r="64" spans="1:5" outlineLevel="2" x14ac:dyDescent="0.25">
      <c r="A64" s="29" t="str">
        <f>WBS!A64</f>
        <v>3.6.3</v>
      </c>
      <c r="B64" s="29">
        <f>WBS!B64</f>
        <v>3</v>
      </c>
      <c r="C64" s="29" t="str">
        <f>WBS!C64</f>
        <v>Kiểm thử PB16</v>
      </c>
      <c r="D64" s="30">
        <f>WBS!H64</f>
        <v>46360</v>
      </c>
      <c r="E64" s="30">
        <f>WBS!I64</f>
        <v>46360</v>
      </c>
    </row>
    <row r="65" spans="1:5" x14ac:dyDescent="0.25">
      <c r="A65" s="25" t="str">
        <f>WBS!A65</f>
        <v>4</v>
      </c>
      <c r="B65" s="25">
        <f>WBS!B65</f>
        <v>1</v>
      </c>
      <c r="C65" s="25" t="str">
        <f>WBS!C65</f>
        <v>Sprint 4</v>
      </c>
      <c r="D65" s="26">
        <f>WBS!H65</f>
        <v>46363</v>
      </c>
      <c r="E65" s="26">
        <f>WBS!I65</f>
        <v>46376</v>
      </c>
    </row>
    <row r="66" spans="1:5" outlineLevel="1" x14ac:dyDescent="0.25">
      <c r="A66" s="27" t="str">
        <f>WBS!A66</f>
        <v>4.1</v>
      </c>
      <c r="B66" s="27">
        <f>WBS!B66</f>
        <v>2</v>
      </c>
      <c r="C66" s="27" t="str">
        <f>WBS!C66</f>
        <v>PB13 - Nhận tiền gửi thường (thu khi giao hàng)</v>
      </c>
      <c r="D66" s="28">
        <f>WBS!H66</f>
        <v>46363</v>
      </c>
      <c r="E66" s="28">
        <f>WBS!I66</f>
        <v>46364</v>
      </c>
    </row>
    <row r="67" spans="1:5" outlineLevel="2" x14ac:dyDescent="0.25">
      <c r="A67" s="29" t="str">
        <f>WBS!A67</f>
        <v>4.1.1</v>
      </c>
      <c r="B67" s="29">
        <f>WBS!B67</f>
        <v>3</v>
      </c>
      <c r="C67" s="29" t="str">
        <f>WBS!C67</f>
        <v>Phân tích và thiết kế PB13</v>
      </c>
      <c r="D67" s="30">
        <f>WBS!H67</f>
        <v>46363</v>
      </c>
      <c r="E67" s="30">
        <f>WBS!I67</f>
        <v>46363</v>
      </c>
    </row>
    <row r="68" spans="1:5" outlineLevel="2" x14ac:dyDescent="0.25">
      <c r="A68" s="29" t="str">
        <f>WBS!A68</f>
        <v>4.1.2</v>
      </c>
      <c r="B68" s="29">
        <f>WBS!B68</f>
        <v>3</v>
      </c>
      <c r="C68" s="29" t="str">
        <f>WBS!C68</f>
        <v>Lập trình PB13</v>
      </c>
      <c r="D68" s="30">
        <f>WBS!H68</f>
        <v>46363</v>
      </c>
      <c r="E68" s="30">
        <f>WBS!I68</f>
        <v>46364</v>
      </c>
    </row>
    <row r="69" spans="1:5" outlineLevel="2" x14ac:dyDescent="0.25">
      <c r="A69" s="29" t="str">
        <f>WBS!A69</f>
        <v>4.1.3</v>
      </c>
      <c r="B69" s="29">
        <f>WBS!B69</f>
        <v>3</v>
      </c>
      <c r="C69" s="29" t="str">
        <f>WBS!C69</f>
        <v>Kiểm thử PB13</v>
      </c>
      <c r="D69" s="30">
        <f>WBS!H69</f>
        <v>46364</v>
      </c>
      <c r="E69" s="30">
        <f>WBS!I69</f>
        <v>46364</v>
      </c>
    </row>
    <row r="70" spans="1:5" outlineLevel="1" x14ac:dyDescent="0.25">
      <c r="A70" s="27" t="str">
        <f>WBS!A70</f>
        <v>4.2</v>
      </c>
      <c r="B70" s="27">
        <f>WBS!B70</f>
        <v>2</v>
      </c>
      <c r="C70" s="27" t="str">
        <f>WBS!C70</f>
        <v>PB14 - Nhận tiền gửi nhanh (chuyển khoản/trực tuyến)</v>
      </c>
      <c r="D70" s="28">
        <f>WBS!H70</f>
        <v>46364</v>
      </c>
      <c r="E70" s="28">
        <f>WBS!I70</f>
        <v>46366</v>
      </c>
    </row>
    <row r="71" spans="1:5" outlineLevel="2" x14ac:dyDescent="0.25">
      <c r="A71" s="29" t="str">
        <f>WBS!A71</f>
        <v>4.2.1</v>
      </c>
      <c r="B71" s="29">
        <f>WBS!B71</f>
        <v>3</v>
      </c>
      <c r="C71" s="29" t="str">
        <f>WBS!C71</f>
        <v>Phân tích và thiết kế PB14</v>
      </c>
      <c r="D71" s="30">
        <f>WBS!H71</f>
        <v>46364</v>
      </c>
      <c r="E71" s="30">
        <f>WBS!I71</f>
        <v>46364</v>
      </c>
    </row>
    <row r="72" spans="1:5" outlineLevel="2" x14ac:dyDescent="0.25">
      <c r="A72" s="29" t="str">
        <f>WBS!A72</f>
        <v>4.2.2</v>
      </c>
      <c r="B72" s="29">
        <f>WBS!B72</f>
        <v>3</v>
      </c>
      <c r="C72" s="29" t="str">
        <f>WBS!C72</f>
        <v>Lập trình PB14</v>
      </c>
      <c r="D72" s="30">
        <f>WBS!H72</f>
        <v>46365</v>
      </c>
      <c r="E72" s="30">
        <f>WBS!I72</f>
        <v>46366</v>
      </c>
    </row>
    <row r="73" spans="1:5" outlineLevel="2" x14ac:dyDescent="0.25">
      <c r="A73" s="29" t="str">
        <f>WBS!A73</f>
        <v>4.2.3</v>
      </c>
      <c r="B73" s="29">
        <f>WBS!B73</f>
        <v>3</v>
      </c>
      <c r="C73" s="29" t="str">
        <f>WBS!C73</f>
        <v>Kiểm thử PB14</v>
      </c>
      <c r="D73" s="30">
        <f>WBS!H73</f>
        <v>46366</v>
      </c>
      <c r="E73" s="30">
        <f>WBS!I73</f>
        <v>46366</v>
      </c>
    </row>
    <row r="74" spans="1:5" outlineLevel="1" x14ac:dyDescent="0.25">
      <c r="A74" s="27" t="str">
        <f>WBS!A74</f>
        <v>4.3</v>
      </c>
      <c r="B74" s="27">
        <f>WBS!B74</f>
        <v>2</v>
      </c>
      <c r="C74" s="27" t="str">
        <f>WBS!C74</f>
        <v>PB17 - Phân công nhân viên giao hàng</v>
      </c>
      <c r="D74" s="28">
        <f>WBS!H74</f>
        <v>46367</v>
      </c>
      <c r="E74" s="28">
        <f>WBS!I74</f>
        <v>46370</v>
      </c>
    </row>
    <row r="75" spans="1:5" outlineLevel="2" x14ac:dyDescent="0.25">
      <c r="A75" s="29" t="str">
        <f>WBS!A75</f>
        <v>4.3.1</v>
      </c>
      <c r="B75" s="29">
        <f>WBS!B75</f>
        <v>3</v>
      </c>
      <c r="C75" s="29" t="str">
        <f>WBS!C75</f>
        <v>Phân tích và thiết kế PB17</v>
      </c>
      <c r="D75" s="30">
        <f>WBS!H75</f>
        <v>46367</v>
      </c>
      <c r="E75" s="30">
        <f>WBS!I75</f>
        <v>46367</v>
      </c>
    </row>
    <row r="76" spans="1:5" outlineLevel="2" x14ac:dyDescent="0.25">
      <c r="A76" s="29" t="str">
        <f>WBS!A76</f>
        <v>4.3.2</v>
      </c>
      <c r="B76" s="29">
        <f>WBS!B76</f>
        <v>3</v>
      </c>
      <c r="C76" s="29" t="str">
        <f>WBS!C76</f>
        <v>Lập trình PB17</v>
      </c>
      <c r="D76" s="30">
        <f>WBS!H76</f>
        <v>46367</v>
      </c>
      <c r="E76" s="30">
        <f>WBS!I76</f>
        <v>46370</v>
      </c>
    </row>
    <row r="77" spans="1:5" outlineLevel="2" x14ac:dyDescent="0.25">
      <c r="A77" s="29" t="str">
        <f>WBS!A77</f>
        <v>4.3.3</v>
      </c>
      <c r="B77" s="29">
        <f>WBS!B77</f>
        <v>3</v>
      </c>
      <c r="C77" s="29" t="str">
        <f>WBS!C77</f>
        <v>Kiểm thử PB17</v>
      </c>
      <c r="D77" s="30">
        <f>WBS!H77</f>
        <v>46370</v>
      </c>
      <c r="E77" s="30">
        <f>WBS!I77</f>
        <v>46370</v>
      </c>
    </row>
    <row r="78" spans="1:5" outlineLevel="1" x14ac:dyDescent="0.25">
      <c r="A78" s="27" t="str">
        <f>WBS!A78</f>
        <v>4.4</v>
      </c>
      <c r="B78" s="27">
        <f>WBS!B78</f>
        <v>2</v>
      </c>
      <c r="C78" s="27" t="str">
        <f>WBS!C78</f>
        <v>PB18 - Giao hàng thường</v>
      </c>
      <c r="D78" s="28">
        <f>WBS!H78</f>
        <v>46370</v>
      </c>
      <c r="E78" s="28">
        <f>WBS!I78</f>
        <v>46372</v>
      </c>
    </row>
    <row r="79" spans="1:5" outlineLevel="2" x14ac:dyDescent="0.25">
      <c r="A79" s="29" t="str">
        <f>WBS!A79</f>
        <v>4.4.1</v>
      </c>
      <c r="B79" s="29">
        <f>WBS!B79</f>
        <v>3</v>
      </c>
      <c r="C79" s="29" t="str">
        <f>WBS!C79</f>
        <v>Phân tích và thiết kế PB18</v>
      </c>
      <c r="D79" s="30">
        <f>WBS!H79</f>
        <v>46370</v>
      </c>
      <c r="E79" s="30">
        <f>WBS!I79</f>
        <v>46370</v>
      </c>
    </row>
    <row r="80" spans="1:5" outlineLevel="2" x14ac:dyDescent="0.25">
      <c r="A80" s="29" t="str">
        <f>WBS!A80</f>
        <v>4.4.2</v>
      </c>
      <c r="B80" s="29">
        <f>WBS!B80</f>
        <v>3</v>
      </c>
      <c r="C80" s="29" t="str">
        <f>WBS!C80</f>
        <v>Lập trình PB18</v>
      </c>
      <c r="D80" s="30">
        <f>WBS!H80</f>
        <v>46371</v>
      </c>
      <c r="E80" s="30">
        <f>WBS!I80</f>
        <v>46372</v>
      </c>
    </row>
    <row r="81" spans="1:5" outlineLevel="2" x14ac:dyDescent="0.25">
      <c r="A81" s="29" t="str">
        <f>WBS!A81</f>
        <v>4.4.3</v>
      </c>
      <c r="B81" s="29">
        <f>WBS!B81</f>
        <v>3</v>
      </c>
      <c r="C81" s="29" t="str">
        <f>WBS!C81</f>
        <v>Kiểm thử PB18</v>
      </c>
      <c r="D81" s="30">
        <f>WBS!H81</f>
        <v>46372</v>
      </c>
      <c r="E81" s="30">
        <f>WBS!I81</f>
        <v>46372</v>
      </c>
    </row>
    <row r="82" spans="1:5" outlineLevel="1" x14ac:dyDescent="0.25">
      <c r="A82" s="27" t="str">
        <f>WBS!A82</f>
        <v>4.5</v>
      </c>
      <c r="B82" s="27">
        <f>WBS!B82</f>
        <v>2</v>
      </c>
      <c r="C82" s="27" t="str">
        <f>WBS!C82</f>
        <v>PB23 - Lập phiếu giao hàng</v>
      </c>
      <c r="D82" s="28">
        <f>WBS!H82</f>
        <v>46373</v>
      </c>
      <c r="E82" s="28">
        <f>WBS!I82</f>
        <v>46374</v>
      </c>
    </row>
    <row r="83" spans="1:5" outlineLevel="2" x14ac:dyDescent="0.25">
      <c r="A83" s="29" t="str">
        <f>WBS!A83</f>
        <v>4.5.1</v>
      </c>
      <c r="B83" s="29">
        <f>WBS!B83</f>
        <v>3</v>
      </c>
      <c r="C83" s="29" t="str">
        <f>WBS!C83</f>
        <v>Phân tích và thiết kế PB23</v>
      </c>
      <c r="D83" s="30">
        <f>WBS!H83</f>
        <v>46373</v>
      </c>
      <c r="E83" s="30">
        <f>WBS!I83</f>
        <v>46373</v>
      </c>
    </row>
    <row r="84" spans="1:5" outlineLevel="2" x14ac:dyDescent="0.25">
      <c r="A84" s="29" t="str">
        <f>WBS!A84</f>
        <v>4.5.2</v>
      </c>
      <c r="B84" s="29">
        <f>WBS!B84</f>
        <v>3</v>
      </c>
      <c r="C84" s="29" t="str">
        <f>WBS!C84</f>
        <v>Lập trình PB23</v>
      </c>
      <c r="D84" s="30">
        <f>WBS!H84</f>
        <v>46373</v>
      </c>
      <c r="E84" s="30">
        <f>WBS!I84</f>
        <v>46374</v>
      </c>
    </row>
    <row r="85" spans="1:5" outlineLevel="2" x14ac:dyDescent="0.25">
      <c r="A85" s="29" t="str">
        <f>WBS!A85</f>
        <v>4.5.3</v>
      </c>
      <c r="B85" s="29">
        <f>WBS!B85</f>
        <v>3</v>
      </c>
      <c r="C85" s="29" t="str">
        <f>WBS!C85</f>
        <v>Kiểm thử PB23</v>
      </c>
      <c r="D85" s="30">
        <f>WBS!H85</f>
        <v>46374</v>
      </c>
      <c r="E85" s="30">
        <f>WBS!I85</f>
        <v>46374</v>
      </c>
    </row>
    <row r="86" spans="1:5" x14ac:dyDescent="0.25">
      <c r="A86" s="25" t="str">
        <f>WBS!A86</f>
        <v>5</v>
      </c>
      <c r="B86" s="25">
        <f>WBS!B86</f>
        <v>1</v>
      </c>
      <c r="C86" s="25" t="str">
        <f>WBS!C86</f>
        <v>Sprint 5</v>
      </c>
      <c r="D86" s="26">
        <f>WBS!H86</f>
        <v>46377</v>
      </c>
      <c r="E86" s="26">
        <f>WBS!I86</f>
        <v>46390</v>
      </c>
    </row>
    <row r="87" spans="1:5" outlineLevel="1" x14ac:dyDescent="0.25">
      <c r="A87" s="27" t="str">
        <f>WBS!A87</f>
        <v>5.1</v>
      </c>
      <c r="B87" s="27">
        <f>WBS!B87</f>
        <v>2</v>
      </c>
      <c r="C87" s="27" t="str">
        <f>WBS!C87</f>
        <v>PB19 - Giao hàng nhanh</v>
      </c>
      <c r="D87" s="28">
        <f>WBS!H87</f>
        <v>46377</v>
      </c>
      <c r="E87" s="28">
        <f>WBS!I87</f>
        <v>46379</v>
      </c>
    </row>
    <row r="88" spans="1:5" outlineLevel="2" x14ac:dyDescent="0.25">
      <c r="A88" s="29" t="str">
        <f>WBS!A88</f>
        <v>5.1.1</v>
      </c>
      <c r="B88" s="29">
        <f>WBS!B88</f>
        <v>3</v>
      </c>
      <c r="C88" s="29" t="str">
        <f>WBS!C88</f>
        <v>Phân tích và thiết kế PB19</v>
      </c>
      <c r="D88" s="30">
        <f>WBS!H88</f>
        <v>46377</v>
      </c>
      <c r="E88" s="30">
        <f>WBS!I88</f>
        <v>46377</v>
      </c>
    </row>
    <row r="89" spans="1:5" outlineLevel="2" x14ac:dyDescent="0.25">
      <c r="A89" s="29" t="str">
        <f>WBS!A89</f>
        <v>5.1.2</v>
      </c>
      <c r="B89" s="29">
        <f>WBS!B89</f>
        <v>3</v>
      </c>
      <c r="C89" s="29" t="str">
        <f>WBS!C89</f>
        <v>Lập trình PB19</v>
      </c>
      <c r="D89" s="30">
        <f>WBS!H89</f>
        <v>46377</v>
      </c>
      <c r="E89" s="30">
        <f>WBS!I89</f>
        <v>46378</v>
      </c>
    </row>
    <row r="90" spans="1:5" outlineLevel="2" x14ac:dyDescent="0.25">
      <c r="A90" s="29" t="str">
        <f>WBS!A90</f>
        <v>5.1.3</v>
      </c>
      <c r="B90" s="29">
        <f>WBS!B90</f>
        <v>3</v>
      </c>
      <c r="C90" s="29" t="str">
        <f>WBS!C90</f>
        <v>Kiểm thử PB19</v>
      </c>
      <c r="D90" s="30">
        <f>WBS!H90</f>
        <v>46379</v>
      </c>
      <c r="E90" s="30">
        <f>WBS!I90</f>
        <v>46379</v>
      </c>
    </row>
    <row r="91" spans="1:5" outlineLevel="1" x14ac:dyDescent="0.25">
      <c r="A91" s="27" t="str">
        <f>WBS!A91</f>
        <v>5.2</v>
      </c>
      <c r="B91" s="27">
        <f>WBS!B91</f>
        <v>2</v>
      </c>
      <c r="C91" s="27" t="str">
        <f>WBS!C91</f>
        <v>PB20 - Cài đặt điểm check-in trên bản đồ</v>
      </c>
      <c r="D91" s="28">
        <f>WBS!H91</f>
        <v>46379</v>
      </c>
      <c r="E91" s="28">
        <f>WBS!I91</f>
        <v>46381</v>
      </c>
    </row>
    <row r="92" spans="1:5" outlineLevel="2" x14ac:dyDescent="0.25">
      <c r="A92" s="29" t="str">
        <f>WBS!A92</f>
        <v>5.2.1</v>
      </c>
      <c r="B92" s="29">
        <f>WBS!B92</f>
        <v>3</v>
      </c>
      <c r="C92" s="29" t="str">
        <f>WBS!C92</f>
        <v>Phân tích và thiết kế PB20</v>
      </c>
      <c r="D92" s="30">
        <f>WBS!H92</f>
        <v>46379</v>
      </c>
      <c r="E92" s="30">
        <f>WBS!I92</f>
        <v>46379</v>
      </c>
    </row>
    <row r="93" spans="1:5" outlineLevel="2" x14ac:dyDescent="0.25">
      <c r="A93" s="29" t="str">
        <f>WBS!A93</f>
        <v>5.2.2</v>
      </c>
      <c r="B93" s="29">
        <f>WBS!B93</f>
        <v>3</v>
      </c>
      <c r="C93" s="29" t="str">
        <f>WBS!C93</f>
        <v>Lập trình PB20</v>
      </c>
      <c r="D93" s="30">
        <f>WBS!H93</f>
        <v>46380</v>
      </c>
      <c r="E93" s="30">
        <f>WBS!I93</f>
        <v>46381</v>
      </c>
    </row>
    <row r="94" spans="1:5" outlineLevel="2" x14ac:dyDescent="0.25">
      <c r="A94" s="29" t="str">
        <f>WBS!A94</f>
        <v>5.2.3</v>
      </c>
      <c r="B94" s="29">
        <f>WBS!B94</f>
        <v>3</v>
      </c>
      <c r="C94" s="29" t="str">
        <f>WBS!C94</f>
        <v>Kiểm thử PB20</v>
      </c>
      <c r="D94" s="30">
        <f>WBS!H94</f>
        <v>46381</v>
      </c>
      <c r="E94" s="30">
        <f>WBS!I94</f>
        <v>46381</v>
      </c>
    </row>
    <row r="95" spans="1:5" outlineLevel="1" x14ac:dyDescent="0.25">
      <c r="A95" s="27" t="str">
        <f>WBS!A95</f>
        <v>5.3</v>
      </c>
      <c r="B95" s="27">
        <f>WBS!B95</f>
        <v>2</v>
      </c>
      <c r="C95" s="27" t="str">
        <f>WBS!C95</f>
        <v>PB21 - Tự động check-in khi qua điểm đã cài đặt</v>
      </c>
      <c r="D95" s="28">
        <f>WBS!H95</f>
        <v>46384</v>
      </c>
      <c r="E95" s="28">
        <f>WBS!I95</f>
        <v>46387</v>
      </c>
    </row>
    <row r="96" spans="1:5" outlineLevel="2" x14ac:dyDescent="0.25">
      <c r="A96" s="29" t="str">
        <f>WBS!A96</f>
        <v>5.3.1</v>
      </c>
      <c r="B96" s="29">
        <f>WBS!B96</f>
        <v>3</v>
      </c>
      <c r="C96" s="29" t="str">
        <f>WBS!C96</f>
        <v>Phân tích và thiết kế PB21</v>
      </c>
      <c r="D96" s="30">
        <f>WBS!H96</f>
        <v>46384</v>
      </c>
      <c r="E96" s="30">
        <f>WBS!I96</f>
        <v>46384</v>
      </c>
    </row>
    <row r="97" spans="1:5" outlineLevel="2" x14ac:dyDescent="0.25">
      <c r="A97" s="29" t="str">
        <f>WBS!A97</f>
        <v>5.3.2</v>
      </c>
      <c r="B97" s="29">
        <f>WBS!B97</f>
        <v>3</v>
      </c>
      <c r="C97" s="29" t="str">
        <f>WBS!C97</f>
        <v>Lập trình PB21</v>
      </c>
      <c r="D97" s="30">
        <f>WBS!H97</f>
        <v>46384</v>
      </c>
      <c r="E97" s="30">
        <f>WBS!I97</f>
        <v>46387</v>
      </c>
    </row>
    <row r="98" spans="1:5" outlineLevel="2" x14ac:dyDescent="0.25">
      <c r="A98" s="29" t="str">
        <f>WBS!A98</f>
        <v>5.3.3</v>
      </c>
      <c r="B98" s="29">
        <f>WBS!B98</f>
        <v>3</v>
      </c>
      <c r="C98" s="29" t="str">
        <f>WBS!C98</f>
        <v>Kiểm thử PB21</v>
      </c>
      <c r="D98" s="30">
        <f>WBS!H98</f>
        <v>46387</v>
      </c>
      <c r="E98" s="30">
        <f>WBS!I98</f>
        <v>46387</v>
      </c>
    </row>
    <row r="99" spans="1:5" x14ac:dyDescent="0.25">
      <c r="A99" s="25" t="str">
        <f>WBS!A99</f>
        <v>6</v>
      </c>
      <c r="B99" s="25">
        <f>WBS!B99</f>
        <v>1</v>
      </c>
      <c r="C99" s="25" t="str">
        <f>WBS!C99</f>
        <v>Sprint 6</v>
      </c>
      <c r="D99" s="26">
        <f>WBS!H99</f>
        <v>46391</v>
      </c>
      <c r="E99" s="26">
        <f>WBS!I99</f>
        <v>46404</v>
      </c>
    </row>
    <row r="100" spans="1:5" outlineLevel="1" x14ac:dyDescent="0.25">
      <c r="A100" s="27" t="str">
        <f>WBS!A100</f>
        <v>6.1</v>
      </c>
      <c r="B100" s="27">
        <f>WBS!B100</f>
        <v>2</v>
      </c>
      <c r="C100" s="27" t="str">
        <f>WBS!C100</f>
        <v>PB22 - Khách hàng theo dõi hành trình đơn hàng</v>
      </c>
      <c r="D100" s="28">
        <f>WBS!H100</f>
        <v>46391</v>
      </c>
      <c r="E100" s="28">
        <f>WBS!I100</f>
        <v>46393</v>
      </c>
    </row>
    <row r="101" spans="1:5" outlineLevel="2" x14ac:dyDescent="0.25">
      <c r="A101" s="29" t="str">
        <f>WBS!A101</f>
        <v>6.1.1</v>
      </c>
      <c r="B101" s="29">
        <f>WBS!B101</f>
        <v>3</v>
      </c>
      <c r="C101" s="29" t="str">
        <f>WBS!C101</f>
        <v>Phân tích và thiết kế PB22</v>
      </c>
      <c r="D101" s="30">
        <f>WBS!H101</f>
        <v>46391</v>
      </c>
      <c r="E101" s="30">
        <f>WBS!I101</f>
        <v>46391</v>
      </c>
    </row>
    <row r="102" spans="1:5" outlineLevel="2" x14ac:dyDescent="0.25">
      <c r="A102" s="29" t="str">
        <f>WBS!A102</f>
        <v>6.1.2</v>
      </c>
      <c r="B102" s="29">
        <f>WBS!B102</f>
        <v>3</v>
      </c>
      <c r="C102" s="29" t="str">
        <f>WBS!C102</f>
        <v>Lập trình PB22</v>
      </c>
      <c r="D102" s="30">
        <f>WBS!H102</f>
        <v>46391</v>
      </c>
      <c r="E102" s="30">
        <f>WBS!I102</f>
        <v>46392</v>
      </c>
    </row>
    <row r="103" spans="1:5" outlineLevel="2" x14ac:dyDescent="0.25">
      <c r="A103" s="29" t="str">
        <f>WBS!A103</f>
        <v>6.1.3</v>
      </c>
      <c r="B103" s="29">
        <f>WBS!B103</f>
        <v>3</v>
      </c>
      <c r="C103" s="29" t="str">
        <f>WBS!C103</f>
        <v>Kiểm thử PB22</v>
      </c>
      <c r="D103" s="30">
        <f>WBS!H103</f>
        <v>46393</v>
      </c>
      <c r="E103" s="30">
        <f>WBS!I103</f>
        <v>46393</v>
      </c>
    </row>
    <row r="104" spans="1:5" outlineLevel="1" x14ac:dyDescent="0.25">
      <c r="A104" s="27" t="str">
        <f>WBS!A104</f>
        <v>6.2</v>
      </c>
      <c r="B104" s="27">
        <f>WBS!B104</f>
        <v>2</v>
      </c>
      <c r="C104" s="27" t="str">
        <f>WBS!C104</f>
        <v>PB24 - Giao tận nơi, xác nhận đã giao theo phiếu</v>
      </c>
      <c r="D104" s="28">
        <f>WBS!H104</f>
        <v>46393</v>
      </c>
      <c r="E104" s="28">
        <f>WBS!I104</f>
        <v>46394</v>
      </c>
    </row>
    <row r="105" spans="1:5" outlineLevel="2" x14ac:dyDescent="0.25">
      <c r="A105" s="29" t="str">
        <f>WBS!A105</f>
        <v>6.2.1</v>
      </c>
      <c r="B105" s="29">
        <f>WBS!B105</f>
        <v>3</v>
      </c>
      <c r="C105" s="29" t="str">
        <f>WBS!C105</f>
        <v>Phân tích và thiết kế PB24</v>
      </c>
      <c r="D105" s="30">
        <f>WBS!H105</f>
        <v>46393</v>
      </c>
      <c r="E105" s="30">
        <f>WBS!I105</f>
        <v>46393</v>
      </c>
    </row>
    <row r="106" spans="1:5" outlineLevel="2" x14ac:dyDescent="0.25">
      <c r="A106" s="29" t="str">
        <f>WBS!A106</f>
        <v>6.2.2</v>
      </c>
      <c r="B106" s="29">
        <f>WBS!B106</f>
        <v>3</v>
      </c>
      <c r="C106" s="29" t="str">
        <f>WBS!C106</f>
        <v>Lập trình PB24</v>
      </c>
      <c r="D106" s="30">
        <f>WBS!H106</f>
        <v>46393</v>
      </c>
      <c r="E106" s="30">
        <f>WBS!I106</f>
        <v>46394</v>
      </c>
    </row>
    <row r="107" spans="1:5" outlineLevel="2" x14ac:dyDescent="0.25">
      <c r="A107" s="29" t="str">
        <f>WBS!A107</f>
        <v>6.2.3</v>
      </c>
      <c r="B107" s="29">
        <f>WBS!B107</f>
        <v>3</v>
      </c>
      <c r="C107" s="29" t="str">
        <f>WBS!C107</f>
        <v>Kiểm thử PB24</v>
      </c>
      <c r="D107" s="30">
        <f>WBS!H107</f>
        <v>46394</v>
      </c>
      <c r="E107" s="30">
        <f>WBS!I107</f>
        <v>46394</v>
      </c>
    </row>
    <row r="108" spans="1:5" outlineLevel="1" x14ac:dyDescent="0.25">
      <c r="A108" s="27" t="str">
        <f>WBS!A108</f>
        <v>6.3</v>
      </c>
      <c r="B108" s="27">
        <f>WBS!B108</f>
        <v>2</v>
      </c>
      <c r="C108" s="27" t="str">
        <f>WBS!C108</f>
        <v>PB25 - Báo giao thất bại và hoàn hàng</v>
      </c>
      <c r="D108" s="28">
        <f>WBS!H108</f>
        <v>46395</v>
      </c>
      <c r="E108" s="28">
        <f>WBS!I108</f>
        <v>46398</v>
      </c>
    </row>
    <row r="109" spans="1:5" outlineLevel="2" x14ac:dyDescent="0.25">
      <c r="A109" s="29" t="str">
        <f>WBS!A109</f>
        <v>6.3.1</v>
      </c>
      <c r="B109" s="29">
        <f>WBS!B109</f>
        <v>3</v>
      </c>
      <c r="C109" s="29" t="str">
        <f>WBS!C109</f>
        <v>Phân tích và thiết kế PB25</v>
      </c>
      <c r="D109" s="30">
        <f>WBS!H109</f>
        <v>46395</v>
      </c>
      <c r="E109" s="30">
        <f>WBS!I109</f>
        <v>46395</v>
      </c>
    </row>
    <row r="110" spans="1:5" outlineLevel="2" x14ac:dyDescent="0.25">
      <c r="A110" s="29" t="str">
        <f>WBS!A110</f>
        <v>6.3.2</v>
      </c>
      <c r="B110" s="29">
        <f>WBS!B110</f>
        <v>3</v>
      </c>
      <c r="C110" s="29" t="str">
        <f>WBS!C110</f>
        <v>Lập trình PB25</v>
      </c>
      <c r="D110" s="30">
        <f>WBS!H110</f>
        <v>46395</v>
      </c>
      <c r="E110" s="30">
        <f>WBS!I110</f>
        <v>46398</v>
      </c>
    </row>
    <row r="111" spans="1:5" outlineLevel="2" x14ac:dyDescent="0.25">
      <c r="A111" s="29" t="str">
        <f>WBS!A111</f>
        <v>6.3.3</v>
      </c>
      <c r="B111" s="29">
        <f>WBS!B111</f>
        <v>3</v>
      </c>
      <c r="C111" s="29" t="str">
        <f>WBS!C111</f>
        <v>Kiểm thử PB25</v>
      </c>
      <c r="D111" s="30">
        <f>WBS!H111</f>
        <v>46398</v>
      </c>
      <c r="E111" s="30">
        <f>WBS!I111</f>
        <v>46398</v>
      </c>
    </row>
    <row r="112" spans="1:5" outlineLevel="1" x14ac:dyDescent="0.25">
      <c r="A112" s="27" t="str">
        <f>WBS!A112</f>
        <v>6.4</v>
      </c>
      <c r="B112" s="27">
        <f>WBS!B112</f>
        <v>2</v>
      </c>
      <c r="C112" s="27" t="str">
        <f>WBS!C112</f>
        <v>PB26 - Tra cứu đơn hàng</v>
      </c>
      <c r="D112" s="28">
        <f>WBS!H112</f>
        <v>46398</v>
      </c>
      <c r="E112" s="28">
        <f>WBS!I112</f>
        <v>46399</v>
      </c>
    </row>
    <row r="113" spans="1:5" outlineLevel="2" x14ac:dyDescent="0.25">
      <c r="A113" s="29" t="str">
        <f>WBS!A113</f>
        <v>6.4.1</v>
      </c>
      <c r="B113" s="29">
        <f>WBS!B113</f>
        <v>3</v>
      </c>
      <c r="C113" s="29" t="str">
        <f>WBS!C113</f>
        <v>Phân tích và thiết kế PB26</v>
      </c>
      <c r="D113" s="30">
        <f>WBS!H113</f>
        <v>46398</v>
      </c>
      <c r="E113" s="30">
        <f>WBS!I113</f>
        <v>46398</v>
      </c>
    </row>
    <row r="114" spans="1:5" outlineLevel="2" x14ac:dyDescent="0.25">
      <c r="A114" s="29" t="str">
        <f>WBS!A114</f>
        <v>6.4.2</v>
      </c>
      <c r="B114" s="29">
        <f>WBS!B114</f>
        <v>3</v>
      </c>
      <c r="C114" s="29" t="str">
        <f>WBS!C114</f>
        <v>Lập trình PB26</v>
      </c>
      <c r="D114" s="30">
        <f>WBS!H114</f>
        <v>46398</v>
      </c>
      <c r="E114" s="30">
        <f>WBS!I114</f>
        <v>46399</v>
      </c>
    </row>
    <row r="115" spans="1:5" outlineLevel="2" x14ac:dyDescent="0.25">
      <c r="A115" s="29" t="str">
        <f>WBS!A115</f>
        <v>6.4.3</v>
      </c>
      <c r="B115" s="29">
        <f>WBS!B115</f>
        <v>3</v>
      </c>
      <c r="C115" s="29" t="str">
        <f>WBS!C115</f>
        <v>Kiểm thử PB26</v>
      </c>
      <c r="D115" s="30">
        <f>WBS!H115</f>
        <v>46399</v>
      </c>
      <c r="E115" s="30">
        <f>WBS!I115</f>
        <v>46399</v>
      </c>
    </row>
    <row r="116" spans="1:5" outlineLevel="1" x14ac:dyDescent="0.25">
      <c r="A116" s="27" t="str">
        <f>WBS!A116</f>
        <v>6.5</v>
      </c>
      <c r="B116" s="27">
        <f>WBS!B116</f>
        <v>2</v>
      </c>
      <c r="C116" s="27" t="str">
        <f>WBS!C116</f>
        <v>PB27 - Báo cáo thống kê</v>
      </c>
      <c r="D116" s="28">
        <f>WBS!H116</f>
        <v>46400</v>
      </c>
      <c r="E116" s="28">
        <f>WBS!I116</f>
        <v>46401</v>
      </c>
    </row>
    <row r="117" spans="1:5" outlineLevel="2" x14ac:dyDescent="0.25">
      <c r="A117" s="29" t="str">
        <f>WBS!A117</f>
        <v>6.5.1</v>
      </c>
      <c r="B117" s="29">
        <f>WBS!B117</f>
        <v>3</v>
      </c>
      <c r="C117" s="29" t="str">
        <f>WBS!C117</f>
        <v>Phân tích và thiết kế PB27</v>
      </c>
      <c r="D117" s="30">
        <f>WBS!H117</f>
        <v>46400</v>
      </c>
      <c r="E117" s="30">
        <f>WBS!I117</f>
        <v>46400</v>
      </c>
    </row>
    <row r="118" spans="1:5" outlineLevel="2" x14ac:dyDescent="0.25">
      <c r="A118" s="29" t="str">
        <f>WBS!A118</f>
        <v>6.5.2</v>
      </c>
      <c r="B118" s="29">
        <f>WBS!B118</f>
        <v>3</v>
      </c>
      <c r="C118" s="29" t="str">
        <f>WBS!C118</f>
        <v>Lập trình PB27</v>
      </c>
      <c r="D118" s="30">
        <f>WBS!H118</f>
        <v>46400</v>
      </c>
      <c r="E118" s="30">
        <f>WBS!I118</f>
        <v>46401</v>
      </c>
    </row>
    <row r="119" spans="1:5" outlineLevel="2" x14ac:dyDescent="0.25">
      <c r="A119" s="29" t="str">
        <f>WBS!A119</f>
        <v>6.5.3</v>
      </c>
      <c r="B119" s="29">
        <f>WBS!B119</f>
        <v>3</v>
      </c>
      <c r="C119" s="29" t="str">
        <f>WBS!C119</f>
        <v>Kiểm thử PB27</v>
      </c>
      <c r="D119" s="30">
        <f>WBS!H119</f>
        <v>46401</v>
      </c>
      <c r="E119" s="30">
        <f>WBS!I119</f>
        <v>46401</v>
      </c>
    </row>
  </sheetData>
  <conditionalFormatting sqref="F6:CK119">
    <cfRule type="expression" dxfId="3" priority="2">
      <formula>AND($B6=1,F$5&gt;=$D6,F$5&lt;=$E6)</formula>
    </cfRule>
    <cfRule type="expression" dxfId="2" priority="3">
      <formula>AND($B6=2,F$5&gt;=$D6,F$5&lt;=$E6)</formula>
    </cfRule>
    <cfRule type="expression" dxfId="1" priority="4">
      <formula>AND($B6=3,F$5&gt;=$D6,F$5&lt;=$E6)</formula>
    </cfRule>
    <cfRule type="expression" dxfId="0" priority="5">
      <formula>WEEKDAY(F$5,2)&gt;5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36" customWidth="1"/>
  </cols>
  <sheetData>
    <row r="1" spans="1:4" ht="25.5" x14ac:dyDescent="0.25">
      <c r="A1" s="5" t="s">
        <v>308</v>
      </c>
      <c r="B1" s="5" t="s">
        <v>309</v>
      </c>
      <c r="C1" s="5" t="s">
        <v>310</v>
      </c>
      <c r="D1" s="5" t="s">
        <v>311</v>
      </c>
    </row>
    <row r="2" spans="1:4" x14ac:dyDescent="0.25">
      <c r="A2" s="20" t="s">
        <v>51</v>
      </c>
      <c r="B2" s="20" t="s">
        <v>312</v>
      </c>
      <c r="C2" s="31">
        <v>1</v>
      </c>
      <c r="D2" s="20">
        <v>8</v>
      </c>
    </row>
    <row r="4" spans="1:4" x14ac:dyDescent="0.25">
      <c r="A4" s="22" t="s">
        <v>313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9"/>
  <sheetViews>
    <sheetView zoomScaleNormal="100" workbookViewId="0"/>
  </sheetViews>
  <sheetFormatPr defaultColWidth="8.7109375" defaultRowHeight="15" x14ac:dyDescent="0.25"/>
  <cols>
    <col min="1" max="1" width="15" customWidth="1"/>
    <col min="2" max="2" width="12" customWidth="1"/>
    <col min="3" max="3" width="16" customWidth="1"/>
    <col min="4" max="4" width="18" customWidth="1"/>
    <col min="5" max="5" width="22" customWidth="1"/>
    <col min="6" max="6" width="10" customWidth="1"/>
    <col min="7" max="7" width="3" customWidth="1"/>
    <col min="8" max="8" width="9" customWidth="1"/>
    <col min="9" max="9" width="46" customWidth="1"/>
    <col min="10" max="10" width="10" customWidth="1"/>
    <col min="11" max="12" width="16" customWidth="1"/>
  </cols>
  <sheetData>
    <row r="1" spans="1:6" ht="16.5" x14ac:dyDescent="0.25">
      <c r="A1" s="4" t="s">
        <v>314</v>
      </c>
    </row>
    <row r="2" spans="1:6" x14ac:dyDescent="0.25">
      <c r="A2" s="3" t="s">
        <v>315</v>
      </c>
      <c r="B2" s="2">
        <f>WBS!E6</f>
        <v>13</v>
      </c>
      <c r="C2" s="3" t="s">
        <v>316</v>
      </c>
      <c r="D2" s="32">
        <f>WBS!H6</f>
        <v>46321</v>
      </c>
      <c r="E2" s="3" t="s">
        <v>317</v>
      </c>
      <c r="F2" s="2">
        <f>WBS!$D$2</f>
        <v>14</v>
      </c>
    </row>
    <row r="3" spans="1:6" x14ac:dyDescent="0.25">
      <c r="A3" s="3" t="s">
        <v>318</v>
      </c>
      <c r="B3" s="33">
        <f>WBS!F6</f>
        <v>52</v>
      </c>
      <c r="C3" s="3" t="s">
        <v>319</v>
      </c>
      <c r="D3" s="2">
        <f>NETWORKDAYS(D2,D2+F2-1)*WBS!$F$2</f>
        <v>80</v>
      </c>
      <c r="E3" s="3" t="s">
        <v>320</v>
      </c>
      <c r="F3" s="33">
        <f>D3-B3</f>
        <v>28</v>
      </c>
    </row>
    <row r="5" spans="1:6" ht="30" customHeight="1" x14ac:dyDescent="0.25">
      <c r="A5" s="5" t="s">
        <v>321</v>
      </c>
      <c r="B5" s="5" t="s">
        <v>322</v>
      </c>
      <c r="C5" s="5" t="s">
        <v>323</v>
      </c>
      <c r="D5" s="5" t="s">
        <v>324</v>
      </c>
      <c r="E5" s="5" t="s">
        <v>325</v>
      </c>
    </row>
    <row r="6" spans="1:6" x14ac:dyDescent="0.25">
      <c r="A6" s="6">
        <v>0</v>
      </c>
      <c r="B6" s="34" t="s">
        <v>19</v>
      </c>
      <c r="C6" s="6">
        <f t="shared" ref="C6:C20" si="0">ROUND($B$2*(1-A6/$F$2),1)</f>
        <v>13</v>
      </c>
      <c r="D6" s="6">
        <f t="shared" ref="D6:D20" si="1">$B$2-SUMIFS($J$27:$J$29,$L$27:$L$29,"&lt;="&amp;A6)</f>
        <v>13</v>
      </c>
      <c r="E6" s="6">
        <f>B2</f>
        <v>13</v>
      </c>
    </row>
    <row r="7" spans="1:6" x14ac:dyDescent="0.25">
      <c r="A7" s="6">
        <v>1</v>
      </c>
      <c r="B7" s="34">
        <f t="shared" ref="B7:B20" si="2">$D$2+A7-1</f>
        <v>46321</v>
      </c>
      <c r="C7" s="6">
        <f t="shared" si="0"/>
        <v>12.1</v>
      </c>
      <c r="D7" s="6">
        <f t="shared" si="1"/>
        <v>13</v>
      </c>
      <c r="E7" s="35"/>
    </row>
    <row r="8" spans="1:6" x14ac:dyDescent="0.25">
      <c r="A8" s="6">
        <v>2</v>
      </c>
      <c r="B8" s="34">
        <f t="shared" si="2"/>
        <v>46322</v>
      </c>
      <c r="C8" s="6">
        <f t="shared" si="0"/>
        <v>11.1</v>
      </c>
      <c r="D8" s="6">
        <f t="shared" si="1"/>
        <v>13</v>
      </c>
      <c r="E8" s="35"/>
    </row>
    <row r="9" spans="1:6" x14ac:dyDescent="0.25">
      <c r="A9" s="6">
        <v>3</v>
      </c>
      <c r="B9" s="34">
        <f t="shared" si="2"/>
        <v>46323</v>
      </c>
      <c r="C9" s="6">
        <f t="shared" si="0"/>
        <v>10.199999999999999</v>
      </c>
      <c r="D9" s="6">
        <f t="shared" si="1"/>
        <v>8</v>
      </c>
      <c r="E9" s="35"/>
    </row>
    <row r="10" spans="1:6" x14ac:dyDescent="0.25">
      <c r="A10" s="6">
        <v>4</v>
      </c>
      <c r="B10" s="34">
        <f t="shared" si="2"/>
        <v>46324</v>
      </c>
      <c r="C10" s="6">
        <f t="shared" si="0"/>
        <v>9.3000000000000007</v>
      </c>
      <c r="D10" s="6">
        <f t="shared" si="1"/>
        <v>8</v>
      </c>
      <c r="E10" s="35"/>
    </row>
    <row r="11" spans="1:6" x14ac:dyDescent="0.25">
      <c r="A11" s="6">
        <v>5</v>
      </c>
      <c r="B11" s="34">
        <f t="shared" si="2"/>
        <v>46325</v>
      </c>
      <c r="C11" s="6">
        <f t="shared" si="0"/>
        <v>8.4</v>
      </c>
      <c r="D11" s="6">
        <f t="shared" si="1"/>
        <v>3</v>
      </c>
      <c r="E11" s="35"/>
    </row>
    <row r="12" spans="1:6" x14ac:dyDescent="0.25">
      <c r="A12" s="6">
        <v>6</v>
      </c>
      <c r="B12" s="34">
        <f t="shared" si="2"/>
        <v>46326</v>
      </c>
      <c r="C12" s="6">
        <f t="shared" si="0"/>
        <v>7.4</v>
      </c>
      <c r="D12" s="6">
        <f t="shared" si="1"/>
        <v>3</v>
      </c>
      <c r="E12" s="35"/>
    </row>
    <row r="13" spans="1:6" x14ac:dyDescent="0.25">
      <c r="A13" s="6">
        <v>7</v>
      </c>
      <c r="B13" s="34">
        <f t="shared" si="2"/>
        <v>46327</v>
      </c>
      <c r="C13" s="6">
        <f t="shared" si="0"/>
        <v>6.5</v>
      </c>
      <c r="D13" s="6">
        <f t="shared" si="1"/>
        <v>3</v>
      </c>
      <c r="E13" s="35"/>
    </row>
    <row r="14" spans="1:6" x14ac:dyDescent="0.25">
      <c r="A14" s="6">
        <v>8</v>
      </c>
      <c r="B14" s="34">
        <f t="shared" si="2"/>
        <v>46328</v>
      </c>
      <c r="C14" s="6">
        <f t="shared" si="0"/>
        <v>5.6</v>
      </c>
      <c r="D14" s="6">
        <f t="shared" si="1"/>
        <v>3</v>
      </c>
      <c r="E14" s="35"/>
    </row>
    <row r="15" spans="1:6" x14ac:dyDescent="0.25">
      <c r="A15" s="6">
        <v>9</v>
      </c>
      <c r="B15" s="34">
        <f t="shared" si="2"/>
        <v>46329</v>
      </c>
      <c r="C15" s="6">
        <f t="shared" si="0"/>
        <v>4.5999999999999996</v>
      </c>
      <c r="D15" s="6">
        <f t="shared" si="1"/>
        <v>0</v>
      </c>
      <c r="E15" s="35"/>
    </row>
    <row r="16" spans="1:6" x14ac:dyDescent="0.25">
      <c r="A16" s="6">
        <v>10</v>
      </c>
      <c r="B16" s="34">
        <f t="shared" si="2"/>
        <v>46330</v>
      </c>
      <c r="C16" s="6">
        <f t="shared" si="0"/>
        <v>3.7</v>
      </c>
      <c r="D16" s="6">
        <f t="shared" si="1"/>
        <v>0</v>
      </c>
      <c r="E16" s="35"/>
    </row>
    <row r="17" spans="1:12" x14ac:dyDescent="0.25">
      <c r="A17" s="6">
        <v>11</v>
      </c>
      <c r="B17" s="34">
        <f t="shared" si="2"/>
        <v>46331</v>
      </c>
      <c r="C17" s="6">
        <f t="shared" si="0"/>
        <v>2.8</v>
      </c>
      <c r="D17" s="6">
        <f t="shared" si="1"/>
        <v>0</v>
      </c>
      <c r="E17" s="35"/>
    </row>
    <row r="18" spans="1:12" x14ac:dyDescent="0.25">
      <c r="A18" s="6">
        <v>12</v>
      </c>
      <c r="B18" s="34">
        <f t="shared" si="2"/>
        <v>46332</v>
      </c>
      <c r="C18" s="6">
        <f t="shared" si="0"/>
        <v>1.9</v>
      </c>
      <c r="D18" s="6">
        <f t="shared" si="1"/>
        <v>0</v>
      </c>
      <c r="E18" s="35"/>
    </row>
    <row r="19" spans="1:12" x14ac:dyDescent="0.25">
      <c r="A19" s="6">
        <v>13</v>
      </c>
      <c r="B19" s="34">
        <f t="shared" si="2"/>
        <v>46333</v>
      </c>
      <c r="C19" s="6">
        <f t="shared" si="0"/>
        <v>0.9</v>
      </c>
      <c r="D19" s="6">
        <f t="shared" si="1"/>
        <v>0</v>
      </c>
      <c r="E19" s="35"/>
    </row>
    <row r="20" spans="1:12" x14ac:dyDescent="0.25">
      <c r="A20" s="6">
        <v>14</v>
      </c>
      <c r="B20" s="34">
        <f t="shared" si="2"/>
        <v>46334</v>
      </c>
      <c r="C20" s="6">
        <f t="shared" si="0"/>
        <v>0</v>
      </c>
      <c r="D20" s="6">
        <f t="shared" si="1"/>
        <v>0</v>
      </c>
      <c r="E20" s="35"/>
    </row>
    <row r="22" spans="1:12" x14ac:dyDescent="0.25">
      <c r="A22" s="22" t="s">
        <v>326</v>
      </c>
    </row>
    <row r="23" spans="1:12" x14ac:dyDescent="0.25">
      <c r="A23" s="22" t="s">
        <v>327</v>
      </c>
    </row>
    <row r="26" spans="1:12" x14ac:dyDescent="0.25">
      <c r="H26" s="5" t="s">
        <v>328</v>
      </c>
      <c r="I26" s="5" t="s">
        <v>329</v>
      </c>
      <c r="J26" s="5" t="s">
        <v>17</v>
      </c>
      <c r="K26" s="5" t="s">
        <v>330</v>
      </c>
      <c r="L26" s="5" t="s">
        <v>331</v>
      </c>
    </row>
    <row r="27" spans="1:12" x14ac:dyDescent="0.25">
      <c r="H27" s="6" t="str">
        <f>LEFT(WBS!C7,4)</f>
        <v>PB01</v>
      </c>
      <c r="I27" s="6" t="str">
        <f>MID(WBS!C7,8,200)</f>
        <v>Khởi tạo dự án .NET 8 + MySQL</v>
      </c>
      <c r="J27" s="6">
        <f>WBS!E7</f>
        <v>5</v>
      </c>
      <c r="K27" s="8">
        <f>WBS!I7</f>
        <v>46323</v>
      </c>
      <c r="L27" s="6">
        <f>K27-$D$2+1</f>
        <v>3</v>
      </c>
    </row>
    <row r="28" spans="1:12" x14ac:dyDescent="0.25">
      <c r="H28" s="6" t="str">
        <f>LEFT(WBS!C11,4)</f>
        <v>PB02</v>
      </c>
      <c r="I28" s="6" t="str">
        <f>MID(WBS!C11,8,200)</f>
        <v>Đăng nhập và phân quyền theo vai trò</v>
      </c>
      <c r="J28" s="6">
        <f>WBS!E11</f>
        <v>5</v>
      </c>
      <c r="K28" s="8">
        <f>WBS!I11</f>
        <v>46325</v>
      </c>
      <c r="L28" s="6">
        <f>K28-$D$2+1</f>
        <v>5</v>
      </c>
    </row>
    <row r="29" spans="1:12" x14ac:dyDescent="0.25">
      <c r="H29" s="6" t="str">
        <f>LEFT(WBS!C15,4)</f>
        <v>PB03</v>
      </c>
      <c r="I29" s="6" t="str">
        <f>MID(WBS!C15,8,200)</f>
        <v>Quản lý tài khoản nhân viên</v>
      </c>
      <c r="J29" s="6">
        <f>WBS!E15</f>
        <v>3</v>
      </c>
      <c r="K29" s="8">
        <f>WBS!I15</f>
        <v>46329</v>
      </c>
      <c r="L29" s="6">
        <f>K29-$D$2+1</f>
        <v>9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31"/>
  <sheetViews>
    <sheetView zoomScaleNormal="100" workbookViewId="0"/>
  </sheetViews>
  <sheetFormatPr defaultColWidth="8.7109375" defaultRowHeight="15" x14ac:dyDescent="0.25"/>
  <cols>
    <col min="1" max="1" width="15" customWidth="1"/>
    <col min="2" max="2" width="12" customWidth="1"/>
    <col min="3" max="3" width="16" customWidth="1"/>
    <col min="4" max="4" width="18" customWidth="1"/>
    <col min="5" max="5" width="22" customWidth="1"/>
    <col min="6" max="6" width="10" customWidth="1"/>
    <col min="7" max="7" width="3" customWidth="1"/>
    <col min="8" max="8" width="9" customWidth="1"/>
    <col min="9" max="9" width="46" customWidth="1"/>
    <col min="10" max="10" width="10" customWidth="1"/>
    <col min="11" max="12" width="16" customWidth="1"/>
  </cols>
  <sheetData>
    <row r="1" spans="1:6" ht="16.5" x14ac:dyDescent="0.25">
      <c r="A1" s="4" t="s">
        <v>332</v>
      </c>
    </row>
    <row r="2" spans="1:6" x14ac:dyDescent="0.25">
      <c r="A2" s="3" t="s">
        <v>315</v>
      </c>
      <c r="B2" s="2">
        <f>WBS!E19</f>
        <v>19</v>
      </c>
      <c r="C2" s="3" t="s">
        <v>316</v>
      </c>
      <c r="D2" s="32">
        <f>WBS!H19</f>
        <v>46335</v>
      </c>
      <c r="E2" s="3" t="s">
        <v>317</v>
      </c>
      <c r="F2" s="2">
        <f>WBS!$D$2</f>
        <v>14</v>
      </c>
    </row>
    <row r="3" spans="1:6" x14ac:dyDescent="0.25">
      <c r="A3" s="3" t="s">
        <v>318</v>
      </c>
      <c r="B3" s="33">
        <f>WBS!F19</f>
        <v>76</v>
      </c>
      <c r="C3" s="3" t="s">
        <v>319</v>
      </c>
      <c r="D3" s="2">
        <f>NETWORKDAYS(D2,D2+F2-1)*WBS!$F$2</f>
        <v>80</v>
      </c>
      <c r="E3" s="3" t="s">
        <v>320</v>
      </c>
      <c r="F3" s="33">
        <f>D3-B3</f>
        <v>4</v>
      </c>
    </row>
    <row r="5" spans="1:6" ht="30" customHeight="1" x14ac:dyDescent="0.25">
      <c r="A5" s="5" t="s">
        <v>321</v>
      </c>
      <c r="B5" s="5" t="s">
        <v>322</v>
      </c>
      <c r="C5" s="5" t="s">
        <v>323</v>
      </c>
      <c r="D5" s="5" t="s">
        <v>324</v>
      </c>
      <c r="E5" s="5" t="s">
        <v>325</v>
      </c>
    </row>
    <row r="6" spans="1:6" x14ac:dyDescent="0.25">
      <c r="A6" s="6">
        <v>0</v>
      </c>
      <c r="B6" s="34" t="s">
        <v>19</v>
      </c>
      <c r="C6" s="6">
        <f t="shared" ref="C6:C20" si="0">ROUND($B$2*(1-A6/$F$2),1)</f>
        <v>19</v>
      </c>
      <c r="D6" s="6">
        <f t="shared" ref="D6:D20" si="1">$B$2-SUMIFS($J$27:$J$31,$L$27:$L$31,"&lt;="&amp;A6)</f>
        <v>19</v>
      </c>
      <c r="E6" s="6">
        <f>B2</f>
        <v>19</v>
      </c>
    </row>
    <row r="7" spans="1:6" x14ac:dyDescent="0.25">
      <c r="A7" s="6">
        <v>1</v>
      </c>
      <c r="B7" s="34">
        <f t="shared" ref="B7:B20" si="2">$D$2+A7-1</f>
        <v>46335</v>
      </c>
      <c r="C7" s="6">
        <f t="shared" si="0"/>
        <v>17.600000000000001</v>
      </c>
      <c r="D7" s="6">
        <f t="shared" si="1"/>
        <v>19</v>
      </c>
      <c r="E7" s="35"/>
    </row>
    <row r="8" spans="1:6" x14ac:dyDescent="0.25">
      <c r="A8" s="6">
        <v>2</v>
      </c>
      <c r="B8" s="34">
        <f t="shared" si="2"/>
        <v>46336</v>
      </c>
      <c r="C8" s="6">
        <f t="shared" si="0"/>
        <v>16.3</v>
      </c>
      <c r="D8" s="6">
        <f t="shared" si="1"/>
        <v>19</v>
      </c>
      <c r="E8" s="35"/>
    </row>
    <row r="9" spans="1:6" x14ac:dyDescent="0.25">
      <c r="A9" s="6">
        <v>3</v>
      </c>
      <c r="B9" s="34">
        <f t="shared" si="2"/>
        <v>46337</v>
      </c>
      <c r="C9" s="6">
        <f t="shared" si="0"/>
        <v>14.9</v>
      </c>
      <c r="D9" s="6">
        <f t="shared" si="1"/>
        <v>14</v>
      </c>
      <c r="E9" s="35"/>
    </row>
    <row r="10" spans="1:6" x14ac:dyDescent="0.25">
      <c r="A10" s="6">
        <v>4</v>
      </c>
      <c r="B10" s="34">
        <f t="shared" si="2"/>
        <v>46338</v>
      </c>
      <c r="C10" s="6">
        <f t="shared" si="0"/>
        <v>13.6</v>
      </c>
      <c r="D10" s="6">
        <f t="shared" si="1"/>
        <v>11</v>
      </c>
      <c r="E10" s="35"/>
    </row>
    <row r="11" spans="1:6" x14ac:dyDescent="0.25">
      <c r="A11" s="6">
        <v>5</v>
      </c>
      <c r="B11" s="34">
        <f t="shared" si="2"/>
        <v>46339</v>
      </c>
      <c r="C11" s="6">
        <f t="shared" si="0"/>
        <v>12.2</v>
      </c>
      <c r="D11" s="6">
        <f t="shared" si="1"/>
        <v>11</v>
      </c>
      <c r="E11" s="35"/>
    </row>
    <row r="12" spans="1:6" x14ac:dyDescent="0.25">
      <c r="A12" s="6">
        <v>6</v>
      </c>
      <c r="B12" s="34">
        <f t="shared" si="2"/>
        <v>46340</v>
      </c>
      <c r="C12" s="6">
        <f t="shared" si="0"/>
        <v>10.9</v>
      </c>
      <c r="D12" s="6">
        <f t="shared" si="1"/>
        <v>11</v>
      </c>
      <c r="E12" s="35"/>
    </row>
    <row r="13" spans="1:6" x14ac:dyDescent="0.25">
      <c r="A13" s="6">
        <v>7</v>
      </c>
      <c r="B13" s="34">
        <f t="shared" si="2"/>
        <v>46341</v>
      </c>
      <c r="C13" s="6">
        <f t="shared" si="0"/>
        <v>9.5</v>
      </c>
      <c r="D13" s="6">
        <f t="shared" si="1"/>
        <v>11</v>
      </c>
      <c r="E13" s="35"/>
    </row>
    <row r="14" spans="1:6" x14ac:dyDescent="0.25">
      <c r="A14" s="6">
        <v>8</v>
      </c>
      <c r="B14" s="34">
        <f t="shared" si="2"/>
        <v>46342</v>
      </c>
      <c r="C14" s="6">
        <f t="shared" si="0"/>
        <v>8.1</v>
      </c>
      <c r="D14" s="6">
        <f t="shared" si="1"/>
        <v>8</v>
      </c>
      <c r="E14" s="35"/>
    </row>
    <row r="15" spans="1:6" x14ac:dyDescent="0.25">
      <c r="A15" s="6">
        <v>9</v>
      </c>
      <c r="B15" s="34">
        <f t="shared" si="2"/>
        <v>46343</v>
      </c>
      <c r="C15" s="6">
        <f t="shared" si="0"/>
        <v>6.8</v>
      </c>
      <c r="D15" s="6">
        <f t="shared" si="1"/>
        <v>5</v>
      </c>
      <c r="E15" s="35"/>
    </row>
    <row r="16" spans="1:6" x14ac:dyDescent="0.25">
      <c r="A16" s="6">
        <v>10</v>
      </c>
      <c r="B16" s="34">
        <f t="shared" si="2"/>
        <v>46344</v>
      </c>
      <c r="C16" s="6">
        <f t="shared" si="0"/>
        <v>5.4</v>
      </c>
      <c r="D16" s="6">
        <f t="shared" si="1"/>
        <v>5</v>
      </c>
      <c r="E16" s="35"/>
    </row>
    <row r="17" spans="1:12" x14ac:dyDescent="0.25">
      <c r="A17" s="6">
        <v>11</v>
      </c>
      <c r="B17" s="34">
        <f t="shared" si="2"/>
        <v>46345</v>
      </c>
      <c r="C17" s="6">
        <f t="shared" si="0"/>
        <v>4.0999999999999996</v>
      </c>
      <c r="D17" s="6">
        <f t="shared" si="1"/>
        <v>5</v>
      </c>
      <c r="E17" s="35"/>
    </row>
    <row r="18" spans="1:12" x14ac:dyDescent="0.25">
      <c r="A18" s="6">
        <v>12</v>
      </c>
      <c r="B18" s="34">
        <f t="shared" si="2"/>
        <v>46346</v>
      </c>
      <c r="C18" s="6">
        <f t="shared" si="0"/>
        <v>2.7</v>
      </c>
      <c r="D18" s="6">
        <f t="shared" si="1"/>
        <v>0</v>
      </c>
      <c r="E18" s="35"/>
    </row>
    <row r="19" spans="1:12" x14ac:dyDescent="0.25">
      <c r="A19" s="6">
        <v>13</v>
      </c>
      <c r="B19" s="34">
        <f t="shared" si="2"/>
        <v>46347</v>
      </c>
      <c r="C19" s="6">
        <f t="shared" si="0"/>
        <v>1.4</v>
      </c>
      <c r="D19" s="6">
        <f t="shared" si="1"/>
        <v>0</v>
      </c>
      <c r="E19" s="35"/>
    </row>
    <row r="20" spans="1:12" x14ac:dyDescent="0.25">
      <c r="A20" s="6">
        <v>14</v>
      </c>
      <c r="B20" s="34">
        <f t="shared" si="2"/>
        <v>46348</v>
      </c>
      <c r="C20" s="6">
        <f t="shared" si="0"/>
        <v>0</v>
      </c>
      <c r="D20" s="6">
        <f t="shared" si="1"/>
        <v>0</v>
      </c>
      <c r="E20" s="35"/>
    </row>
    <row r="22" spans="1:12" x14ac:dyDescent="0.25">
      <c r="A22" s="22" t="s">
        <v>326</v>
      </c>
    </row>
    <row r="23" spans="1:12" x14ac:dyDescent="0.25">
      <c r="A23" s="22" t="s">
        <v>327</v>
      </c>
    </row>
    <row r="26" spans="1:12" x14ac:dyDescent="0.25">
      <c r="H26" s="5" t="s">
        <v>328</v>
      </c>
      <c r="I26" s="5" t="s">
        <v>329</v>
      </c>
      <c r="J26" s="5" t="s">
        <v>17</v>
      </c>
      <c r="K26" s="5" t="s">
        <v>330</v>
      </c>
      <c r="L26" s="5" t="s">
        <v>331</v>
      </c>
    </row>
    <row r="27" spans="1:12" x14ac:dyDescent="0.25">
      <c r="H27" s="6" t="str">
        <f>LEFT(WBS!C20,4)</f>
        <v>PB04</v>
      </c>
      <c r="I27" s="6" t="str">
        <f>MID(WBS!C20,8,200)</f>
        <v>Nhận mã đơn hàng từ website bán hàng (API)</v>
      </c>
      <c r="J27" s="6">
        <f>WBS!E20</f>
        <v>5</v>
      </c>
      <c r="K27" s="8">
        <f>WBS!I20</f>
        <v>46337</v>
      </c>
      <c r="L27" s="6">
        <f>K27-$D$2+1</f>
        <v>3</v>
      </c>
    </row>
    <row r="28" spans="1:12" x14ac:dyDescent="0.25">
      <c r="H28" s="6" t="str">
        <f>LEFT(WBS!C24,4)</f>
        <v>PB05</v>
      </c>
      <c r="I28" s="6" t="str">
        <f>MID(WBS!C24,8,200)</f>
        <v>Gửi yêu cầu giao hàng đến nhận hàng từ công ty</v>
      </c>
      <c r="J28" s="6">
        <f>WBS!E24</f>
        <v>3</v>
      </c>
      <c r="K28" s="8">
        <f>WBS!I24</f>
        <v>46338</v>
      </c>
      <c r="L28" s="6">
        <f>K28-$D$2+1</f>
        <v>4</v>
      </c>
    </row>
    <row r="29" spans="1:12" x14ac:dyDescent="0.25">
      <c r="H29" s="6" t="str">
        <f>LEFT(WBS!C28,4)</f>
        <v>PB06</v>
      </c>
      <c r="I29" s="6" t="str">
        <f>MID(WBS!C28,8,200)</f>
        <v>Cập nhật trạng thái đơn hàng tuần tự</v>
      </c>
      <c r="J29" s="6">
        <f>WBS!E28</f>
        <v>3</v>
      </c>
      <c r="K29" s="8">
        <f>WBS!I28</f>
        <v>46342</v>
      </c>
      <c r="L29" s="6">
        <f>K29-$D$2+1</f>
        <v>8</v>
      </c>
    </row>
    <row r="30" spans="1:12" x14ac:dyDescent="0.25">
      <c r="H30" s="6" t="str">
        <f>LEFT(WBS!C32,4)</f>
        <v>PB07</v>
      </c>
      <c r="I30" s="6" t="str">
        <f>MID(WBS!C32,8,200)</f>
        <v>Quản lý bảng báo giá</v>
      </c>
      <c r="J30" s="6">
        <f>WBS!E32</f>
        <v>3</v>
      </c>
      <c r="K30" s="8">
        <f>WBS!I32</f>
        <v>46343</v>
      </c>
      <c r="L30" s="6">
        <f>K30-$D$2+1</f>
        <v>9</v>
      </c>
    </row>
    <row r="31" spans="1:12" x14ac:dyDescent="0.25">
      <c r="H31" s="6" t="str">
        <f>LEFT(WBS!C36,4)</f>
        <v>PB08</v>
      </c>
      <c r="I31" s="6" t="str">
        <f>MID(WBS!C36,8,200)</f>
        <v>Kiểm tra hàng hóa</v>
      </c>
      <c r="J31" s="6">
        <f>WBS!E36</f>
        <v>5</v>
      </c>
      <c r="K31" s="8">
        <f>WBS!I36</f>
        <v>46346</v>
      </c>
      <c r="L31" s="6">
        <f>K31-$D$2+1</f>
        <v>12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32"/>
  <sheetViews>
    <sheetView zoomScaleNormal="100" workbookViewId="0"/>
  </sheetViews>
  <sheetFormatPr defaultColWidth="8.7109375" defaultRowHeight="15" x14ac:dyDescent="0.25"/>
  <cols>
    <col min="1" max="1" width="15" customWidth="1"/>
    <col min="2" max="2" width="12" customWidth="1"/>
    <col min="3" max="3" width="16" customWidth="1"/>
    <col min="4" max="4" width="18" customWidth="1"/>
    <col min="5" max="5" width="22" customWidth="1"/>
    <col min="6" max="6" width="10" customWidth="1"/>
    <col min="7" max="7" width="3" customWidth="1"/>
    <col min="8" max="8" width="9" customWidth="1"/>
    <col min="9" max="9" width="46" customWidth="1"/>
    <col min="10" max="10" width="10" customWidth="1"/>
    <col min="11" max="12" width="16" customWidth="1"/>
  </cols>
  <sheetData>
    <row r="1" spans="1:6" ht="16.5" x14ac:dyDescent="0.25">
      <c r="A1" s="4" t="s">
        <v>333</v>
      </c>
    </row>
    <row r="2" spans="1:6" x14ac:dyDescent="0.25">
      <c r="A2" s="3" t="s">
        <v>315</v>
      </c>
      <c r="B2" s="2">
        <f>WBS!E40</f>
        <v>20</v>
      </c>
      <c r="C2" s="3" t="s">
        <v>316</v>
      </c>
      <c r="D2" s="32">
        <f>WBS!H40</f>
        <v>46349</v>
      </c>
      <c r="E2" s="3" t="s">
        <v>317</v>
      </c>
      <c r="F2" s="2">
        <f>WBS!$D$2</f>
        <v>14</v>
      </c>
    </row>
    <row r="3" spans="1:6" x14ac:dyDescent="0.25">
      <c r="A3" s="3" t="s">
        <v>318</v>
      </c>
      <c r="B3" s="33">
        <f>WBS!F40</f>
        <v>80</v>
      </c>
      <c r="C3" s="3" t="s">
        <v>319</v>
      </c>
      <c r="D3" s="2">
        <f>NETWORKDAYS(D2,D2+F2-1)*WBS!$F$2</f>
        <v>80</v>
      </c>
      <c r="E3" s="3" t="s">
        <v>320</v>
      </c>
      <c r="F3" s="33">
        <f>D3-B3</f>
        <v>0</v>
      </c>
    </row>
    <row r="5" spans="1:6" ht="30" customHeight="1" x14ac:dyDescent="0.25">
      <c r="A5" s="5" t="s">
        <v>321</v>
      </c>
      <c r="B5" s="5" t="s">
        <v>322</v>
      </c>
      <c r="C5" s="5" t="s">
        <v>323</v>
      </c>
      <c r="D5" s="5" t="s">
        <v>324</v>
      </c>
      <c r="E5" s="5" t="s">
        <v>325</v>
      </c>
    </row>
    <row r="6" spans="1:6" x14ac:dyDescent="0.25">
      <c r="A6" s="6">
        <v>0</v>
      </c>
      <c r="B6" s="34" t="s">
        <v>19</v>
      </c>
      <c r="C6" s="6">
        <f t="shared" ref="C6:C20" si="0">ROUND($B$2*(1-A6/$F$2),1)</f>
        <v>20</v>
      </c>
      <c r="D6" s="6">
        <f t="shared" ref="D6:D20" si="1">$B$2-SUMIFS($J$27:$J$32,$L$27:$L$32,"&lt;="&amp;A6)</f>
        <v>20</v>
      </c>
      <c r="E6" s="6">
        <f>B2</f>
        <v>20</v>
      </c>
    </row>
    <row r="7" spans="1:6" x14ac:dyDescent="0.25">
      <c r="A7" s="6">
        <v>1</v>
      </c>
      <c r="B7" s="34">
        <f t="shared" ref="B7:B20" si="2">$D$2+A7-1</f>
        <v>46349</v>
      </c>
      <c r="C7" s="6">
        <f t="shared" si="0"/>
        <v>18.600000000000001</v>
      </c>
      <c r="D7" s="6">
        <f t="shared" si="1"/>
        <v>20</v>
      </c>
      <c r="E7" s="35"/>
    </row>
    <row r="8" spans="1:6" x14ac:dyDescent="0.25">
      <c r="A8" s="6">
        <v>2</v>
      </c>
      <c r="B8" s="34">
        <f t="shared" si="2"/>
        <v>46350</v>
      </c>
      <c r="C8" s="6">
        <f t="shared" si="0"/>
        <v>17.100000000000001</v>
      </c>
      <c r="D8" s="6">
        <f t="shared" si="1"/>
        <v>17</v>
      </c>
      <c r="E8" s="35"/>
    </row>
    <row r="9" spans="1:6" x14ac:dyDescent="0.25">
      <c r="A9" s="6">
        <v>3</v>
      </c>
      <c r="B9" s="34">
        <f t="shared" si="2"/>
        <v>46351</v>
      </c>
      <c r="C9" s="6">
        <f t="shared" si="0"/>
        <v>15.7</v>
      </c>
      <c r="D9" s="6">
        <f t="shared" si="1"/>
        <v>14</v>
      </c>
      <c r="E9" s="35"/>
    </row>
    <row r="10" spans="1:6" x14ac:dyDescent="0.25">
      <c r="A10" s="6">
        <v>4</v>
      </c>
      <c r="B10" s="34">
        <f t="shared" si="2"/>
        <v>46352</v>
      </c>
      <c r="C10" s="6">
        <f t="shared" si="0"/>
        <v>14.3</v>
      </c>
      <c r="D10" s="6">
        <f t="shared" si="1"/>
        <v>14</v>
      </c>
      <c r="E10" s="35"/>
    </row>
    <row r="11" spans="1:6" x14ac:dyDescent="0.25">
      <c r="A11" s="6">
        <v>5</v>
      </c>
      <c r="B11" s="34">
        <f t="shared" si="2"/>
        <v>46353</v>
      </c>
      <c r="C11" s="6">
        <f t="shared" si="0"/>
        <v>12.9</v>
      </c>
      <c r="D11" s="6">
        <f t="shared" si="1"/>
        <v>11</v>
      </c>
      <c r="E11" s="35"/>
    </row>
    <row r="12" spans="1:6" x14ac:dyDescent="0.25">
      <c r="A12" s="6">
        <v>6</v>
      </c>
      <c r="B12" s="34">
        <f t="shared" si="2"/>
        <v>46354</v>
      </c>
      <c r="C12" s="6">
        <f t="shared" si="0"/>
        <v>11.4</v>
      </c>
      <c r="D12" s="6">
        <f t="shared" si="1"/>
        <v>11</v>
      </c>
      <c r="E12" s="35"/>
    </row>
    <row r="13" spans="1:6" x14ac:dyDescent="0.25">
      <c r="A13" s="6">
        <v>7</v>
      </c>
      <c r="B13" s="34">
        <f t="shared" si="2"/>
        <v>46355</v>
      </c>
      <c r="C13" s="6">
        <f t="shared" si="0"/>
        <v>10</v>
      </c>
      <c r="D13" s="6">
        <f t="shared" si="1"/>
        <v>11</v>
      </c>
      <c r="E13" s="35"/>
    </row>
    <row r="14" spans="1:6" x14ac:dyDescent="0.25">
      <c r="A14" s="6">
        <v>8</v>
      </c>
      <c r="B14" s="34">
        <f t="shared" si="2"/>
        <v>46356</v>
      </c>
      <c r="C14" s="6">
        <f t="shared" si="0"/>
        <v>8.6</v>
      </c>
      <c r="D14" s="6">
        <f t="shared" si="1"/>
        <v>8</v>
      </c>
      <c r="E14" s="35"/>
    </row>
    <row r="15" spans="1:6" x14ac:dyDescent="0.25">
      <c r="A15" s="6">
        <v>9</v>
      </c>
      <c r="B15" s="34">
        <f t="shared" si="2"/>
        <v>46357</v>
      </c>
      <c r="C15" s="6">
        <f t="shared" si="0"/>
        <v>7.1</v>
      </c>
      <c r="D15" s="6">
        <f t="shared" si="1"/>
        <v>8</v>
      </c>
      <c r="E15" s="35"/>
    </row>
    <row r="16" spans="1:6" x14ac:dyDescent="0.25">
      <c r="A16" s="6">
        <v>10</v>
      </c>
      <c r="B16" s="34">
        <f t="shared" si="2"/>
        <v>46358</v>
      </c>
      <c r="C16" s="6">
        <f t="shared" si="0"/>
        <v>5.7</v>
      </c>
      <c r="D16" s="6">
        <f t="shared" si="1"/>
        <v>5</v>
      </c>
      <c r="E16" s="35"/>
    </row>
    <row r="17" spans="1:12" x14ac:dyDescent="0.25">
      <c r="A17" s="6">
        <v>11</v>
      </c>
      <c r="B17" s="34">
        <f t="shared" si="2"/>
        <v>46359</v>
      </c>
      <c r="C17" s="6">
        <f t="shared" si="0"/>
        <v>4.3</v>
      </c>
      <c r="D17" s="6">
        <f t="shared" si="1"/>
        <v>5</v>
      </c>
      <c r="E17" s="35"/>
    </row>
    <row r="18" spans="1:12" x14ac:dyDescent="0.25">
      <c r="A18" s="6">
        <v>12</v>
      </c>
      <c r="B18" s="34">
        <f t="shared" si="2"/>
        <v>46360</v>
      </c>
      <c r="C18" s="6">
        <f t="shared" si="0"/>
        <v>2.9</v>
      </c>
      <c r="D18" s="6">
        <f t="shared" si="1"/>
        <v>0</v>
      </c>
      <c r="E18" s="35"/>
    </row>
    <row r="19" spans="1:12" x14ac:dyDescent="0.25">
      <c r="A19" s="6">
        <v>13</v>
      </c>
      <c r="B19" s="34">
        <f t="shared" si="2"/>
        <v>46361</v>
      </c>
      <c r="C19" s="6">
        <f t="shared" si="0"/>
        <v>1.4</v>
      </c>
      <c r="D19" s="6">
        <f t="shared" si="1"/>
        <v>0</v>
      </c>
      <c r="E19" s="35"/>
    </row>
    <row r="20" spans="1:12" x14ac:dyDescent="0.25">
      <c r="A20" s="6">
        <v>14</v>
      </c>
      <c r="B20" s="34">
        <f t="shared" si="2"/>
        <v>46362</v>
      </c>
      <c r="C20" s="6">
        <f t="shared" si="0"/>
        <v>0</v>
      </c>
      <c r="D20" s="6">
        <f t="shared" si="1"/>
        <v>0</v>
      </c>
      <c r="E20" s="35"/>
    </row>
    <row r="22" spans="1:12" x14ac:dyDescent="0.25">
      <c r="A22" s="22" t="s">
        <v>326</v>
      </c>
    </row>
    <row r="23" spans="1:12" x14ac:dyDescent="0.25">
      <c r="A23" s="22" t="s">
        <v>327</v>
      </c>
    </row>
    <row r="26" spans="1:12" x14ac:dyDescent="0.25">
      <c r="H26" s="5" t="s">
        <v>328</v>
      </c>
      <c r="I26" s="5" t="s">
        <v>329</v>
      </c>
      <c r="J26" s="5" t="s">
        <v>17</v>
      </c>
      <c r="K26" s="5" t="s">
        <v>330</v>
      </c>
      <c r="L26" s="5" t="s">
        <v>331</v>
      </c>
    </row>
    <row r="27" spans="1:12" x14ac:dyDescent="0.25">
      <c r="H27" s="6" t="str">
        <f>LEFT(WBS!C41,4)</f>
        <v>PB09</v>
      </c>
      <c r="I27" s="6" t="str">
        <f>MID(WBS!C41,8,200)</f>
        <v>Đề xuất, chọn phương tiện giao hàng</v>
      </c>
      <c r="J27" s="6">
        <f>WBS!E41</f>
        <v>3</v>
      </c>
      <c r="K27" s="8">
        <f>WBS!I41</f>
        <v>46350</v>
      </c>
      <c r="L27" s="6">
        <f t="shared" ref="L27:L32" si="3">K27-$D$2+1</f>
        <v>2</v>
      </c>
    </row>
    <row r="28" spans="1:12" x14ac:dyDescent="0.25">
      <c r="H28" s="6" t="str">
        <f>LEFT(WBS!C45,4)</f>
        <v>PB10</v>
      </c>
      <c r="I28" s="6" t="str">
        <f>MID(WBS!C45,8,200)</f>
        <v>Đưa ra mức giá theo bảng báo giá</v>
      </c>
      <c r="J28" s="6">
        <f>WBS!E45</f>
        <v>3</v>
      </c>
      <c r="K28" s="8">
        <f>WBS!I45</f>
        <v>46351</v>
      </c>
      <c r="L28" s="6">
        <f t="shared" si="3"/>
        <v>3</v>
      </c>
    </row>
    <row r="29" spans="1:12" x14ac:dyDescent="0.25">
      <c r="H29" s="6" t="str">
        <f>LEFT(WBS!C49,4)</f>
        <v>PB11</v>
      </c>
      <c r="I29" s="6" t="str">
        <f>MID(WBS!C49,8,200)</f>
        <v>Nhập thông tin gói hàng</v>
      </c>
      <c r="J29" s="6">
        <f>WBS!E49</f>
        <v>3</v>
      </c>
      <c r="K29" s="8">
        <f>WBS!I49</f>
        <v>46353</v>
      </c>
      <c r="L29" s="6">
        <f t="shared" si="3"/>
        <v>5</v>
      </c>
    </row>
    <row r="30" spans="1:12" x14ac:dyDescent="0.25">
      <c r="H30" s="6" t="str">
        <f>LEFT(WBS!C53,4)</f>
        <v>PB12</v>
      </c>
      <c r="I30" s="6" t="str">
        <f>MID(WBS!C53,8,200)</f>
        <v>Khai báo thông số kèm theo</v>
      </c>
      <c r="J30" s="6">
        <f>WBS!E53</f>
        <v>3</v>
      </c>
      <c r="K30" s="8">
        <f>WBS!I53</f>
        <v>46356</v>
      </c>
      <c r="L30" s="6">
        <f t="shared" si="3"/>
        <v>8</v>
      </c>
    </row>
    <row r="31" spans="1:12" x14ac:dyDescent="0.25">
      <c r="H31" s="6" t="str">
        <f>LEFT(WBS!C57,4)</f>
        <v>PB15</v>
      </c>
      <c r="I31" s="6" t="str">
        <f>MID(WBS!C57,8,200)</f>
        <v>Quản lý danh mục loại hàng, tuyến xe, phương tiện</v>
      </c>
      <c r="J31" s="6">
        <f>WBS!E57</f>
        <v>3</v>
      </c>
      <c r="K31" s="8">
        <f>WBS!I57</f>
        <v>46358</v>
      </c>
      <c r="L31" s="6">
        <f t="shared" si="3"/>
        <v>10</v>
      </c>
    </row>
    <row r="32" spans="1:12" x14ac:dyDescent="0.25">
      <c r="H32" s="6" t="str">
        <f>LEFT(WBS!C61,4)</f>
        <v>PB16</v>
      </c>
      <c r="I32" s="6" t="str">
        <f>MID(WBS!C61,8,200)</f>
        <v>Phân loại hàng hóa theo kích cỡ và tuyến xe</v>
      </c>
      <c r="J32" s="6">
        <f>WBS!E61</f>
        <v>5</v>
      </c>
      <c r="K32" s="8">
        <f>WBS!I61</f>
        <v>46360</v>
      </c>
      <c r="L32" s="6">
        <f t="shared" si="3"/>
        <v>12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1"/>
  <sheetViews>
    <sheetView zoomScaleNormal="100" workbookViewId="0"/>
  </sheetViews>
  <sheetFormatPr defaultColWidth="8.7109375" defaultRowHeight="15" x14ac:dyDescent="0.25"/>
  <cols>
    <col min="1" max="1" width="15" customWidth="1"/>
    <col min="2" max="2" width="12" customWidth="1"/>
    <col min="3" max="3" width="16" customWidth="1"/>
    <col min="4" max="4" width="18" customWidth="1"/>
    <col min="5" max="5" width="22" customWidth="1"/>
    <col min="6" max="6" width="10" customWidth="1"/>
    <col min="7" max="7" width="3" customWidth="1"/>
    <col min="8" max="8" width="9" customWidth="1"/>
    <col min="9" max="9" width="46" customWidth="1"/>
    <col min="10" max="10" width="10" customWidth="1"/>
    <col min="11" max="12" width="16" customWidth="1"/>
  </cols>
  <sheetData>
    <row r="1" spans="1:6" ht="16.5" x14ac:dyDescent="0.25">
      <c r="A1" s="4" t="s">
        <v>334</v>
      </c>
    </row>
    <row r="2" spans="1:6" x14ac:dyDescent="0.25">
      <c r="A2" s="3" t="s">
        <v>315</v>
      </c>
      <c r="B2" s="2">
        <f>WBS!E65</f>
        <v>19</v>
      </c>
      <c r="C2" s="3" t="s">
        <v>316</v>
      </c>
      <c r="D2" s="32">
        <f>WBS!H65</f>
        <v>46363</v>
      </c>
      <c r="E2" s="3" t="s">
        <v>317</v>
      </c>
      <c r="F2" s="2">
        <f>WBS!$D$2</f>
        <v>14</v>
      </c>
    </row>
    <row r="3" spans="1:6" x14ac:dyDescent="0.25">
      <c r="A3" s="3" t="s">
        <v>318</v>
      </c>
      <c r="B3" s="33">
        <f>WBS!F65</f>
        <v>76</v>
      </c>
      <c r="C3" s="3" t="s">
        <v>319</v>
      </c>
      <c r="D3" s="2">
        <f>NETWORKDAYS(D2,D2+F2-1)*WBS!$F$2</f>
        <v>80</v>
      </c>
      <c r="E3" s="3" t="s">
        <v>320</v>
      </c>
      <c r="F3" s="33">
        <f>D3-B3</f>
        <v>4</v>
      </c>
    </row>
    <row r="5" spans="1:6" ht="30" customHeight="1" x14ac:dyDescent="0.25">
      <c r="A5" s="5" t="s">
        <v>321</v>
      </c>
      <c r="B5" s="5" t="s">
        <v>322</v>
      </c>
      <c r="C5" s="5" t="s">
        <v>323</v>
      </c>
      <c r="D5" s="5" t="s">
        <v>324</v>
      </c>
      <c r="E5" s="5" t="s">
        <v>325</v>
      </c>
    </row>
    <row r="6" spans="1:6" x14ac:dyDescent="0.25">
      <c r="A6" s="6">
        <v>0</v>
      </c>
      <c r="B6" s="34" t="s">
        <v>19</v>
      </c>
      <c r="C6" s="6">
        <f t="shared" ref="C6:C20" si="0">ROUND($B$2*(1-A6/$F$2),1)</f>
        <v>19</v>
      </c>
      <c r="D6" s="6">
        <f t="shared" ref="D6:D20" si="1">$B$2-SUMIFS($J$27:$J$31,$L$27:$L$31,"&lt;="&amp;A6)</f>
        <v>19</v>
      </c>
      <c r="E6" s="6">
        <f>B2</f>
        <v>19</v>
      </c>
    </row>
    <row r="7" spans="1:6" x14ac:dyDescent="0.25">
      <c r="A7" s="6">
        <v>1</v>
      </c>
      <c r="B7" s="34">
        <f t="shared" ref="B7:B20" si="2">$D$2+A7-1</f>
        <v>46363</v>
      </c>
      <c r="C7" s="6">
        <f t="shared" si="0"/>
        <v>17.600000000000001</v>
      </c>
      <c r="D7" s="6">
        <f t="shared" si="1"/>
        <v>19</v>
      </c>
      <c r="E7" s="35"/>
    </row>
    <row r="8" spans="1:6" x14ac:dyDescent="0.25">
      <c r="A8" s="6">
        <v>2</v>
      </c>
      <c r="B8" s="34">
        <f t="shared" si="2"/>
        <v>46364</v>
      </c>
      <c r="C8" s="6">
        <f t="shared" si="0"/>
        <v>16.3</v>
      </c>
      <c r="D8" s="6">
        <f t="shared" si="1"/>
        <v>16</v>
      </c>
      <c r="E8" s="35"/>
    </row>
    <row r="9" spans="1:6" x14ac:dyDescent="0.25">
      <c r="A9" s="6">
        <v>3</v>
      </c>
      <c r="B9" s="34">
        <f t="shared" si="2"/>
        <v>46365</v>
      </c>
      <c r="C9" s="6">
        <f t="shared" si="0"/>
        <v>14.9</v>
      </c>
      <c r="D9" s="6">
        <f t="shared" si="1"/>
        <v>16</v>
      </c>
      <c r="E9" s="35"/>
    </row>
    <row r="10" spans="1:6" x14ac:dyDescent="0.25">
      <c r="A10" s="6">
        <v>4</v>
      </c>
      <c r="B10" s="34">
        <f t="shared" si="2"/>
        <v>46366</v>
      </c>
      <c r="C10" s="6">
        <f t="shared" si="0"/>
        <v>13.6</v>
      </c>
      <c r="D10" s="6">
        <f t="shared" si="1"/>
        <v>11</v>
      </c>
      <c r="E10" s="35"/>
    </row>
    <row r="11" spans="1:6" x14ac:dyDescent="0.25">
      <c r="A11" s="6">
        <v>5</v>
      </c>
      <c r="B11" s="34">
        <f t="shared" si="2"/>
        <v>46367</v>
      </c>
      <c r="C11" s="6">
        <f t="shared" si="0"/>
        <v>12.2</v>
      </c>
      <c r="D11" s="6">
        <f t="shared" si="1"/>
        <v>11</v>
      </c>
      <c r="E11" s="35"/>
    </row>
    <row r="12" spans="1:6" x14ac:dyDescent="0.25">
      <c r="A12" s="6">
        <v>6</v>
      </c>
      <c r="B12" s="34">
        <f t="shared" si="2"/>
        <v>46368</v>
      </c>
      <c r="C12" s="6">
        <f t="shared" si="0"/>
        <v>10.9</v>
      </c>
      <c r="D12" s="6">
        <f t="shared" si="1"/>
        <v>11</v>
      </c>
      <c r="E12" s="35"/>
    </row>
    <row r="13" spans="1:6" x14ac:dyDescent="0.25">
      <c r="A13" s="6">
        <v>7</v>
      </c>
      <c r="B13" s="34">
        <f t="shared" si="2"/>
        <v>46369</v>
      </c>
      <c r="C13" s="6">
        <f t="shared" si="0"/>
        <v>9.5</v>
      </c>
      <c r="D13" s="6">
        <f t="shared" si="1"/>
        <v>11</v>
      </c>
      <c r="E13" s="35"/>
    </row>
    <row r="14" spans="1:6" x14ac:dyDescent="0.25">
      <c r="A14" s="6">
        <v>8</v>
      </c>
      <c r="B14" s="34">
        <f t="shared" si="2"/>
        <v>46370</v>
      </c>
      <c r="C14" s="6">
        <f t="shared" si="0"/>
        <v>8.1</v>
      </c>
      <c r="D14" s="6">
        <f t="shared" si="1"/>
        <v>8</v>
      </c>
      <c r="E14" s="35"/>
    </row>
    <row r="15" spans="1:6" x14ac:dyDescent="0.25">
      <c r="A15" s="6">
        <v>9</v>
      </c>
      <c r="B15" s="34">
        <f t="shared" si="2"/>
        <v>46371</v>
      </c>
      <c r="C15" s="6">
        <f t="shared" si="0"/>
        <v>6.8</v>
      </c>
      <c r="D15" s="6">
        <f t="shared" si="1"/>
        <v>8</v>
      </c>
      <c r="E15" s="35"/>
    </row>
    <row r="16" spans="1:6" x14ac:dyDescent="0.25">
      <c r="A16" s="6">
        <v>10</v>
      </c>
      <c r="B16" s="34">
        <f t="shared" si="2"/>
        <v>46372</v>
      </c>
      <c r="C16" s="6">
        <f t="shared" si="0"/>
        <v>5.4</v>
      </c>
      <c r="D16" s="6">
        <f t="shared" si="1"/>
        <v>3</v>
      </c>
      <c r="E16" s="35"/>
    </row>
    <row r="17" spans="1:12" x14ac:dyDescent="0.25">
      <c r="A17" s="6">
        <v>11</v>
      </c>
      <c r="B17" s="34">
        <f t="shared" si="2"/>
        <v>46373</v>
      </c>
      <c r="C17" s="6">
        <f t="shared" si="0"/>
        <v>4.0999999999999996</v>
      </c>
      <c r="D17" s="6">
        <f t="shared" si="1"/>
        <v>3</v>
      </c>
      <c r="E17" s="35"/>
    </row>
    <row r="18" spans="1:12" x14ac:dyDescent="0.25">
      <c r="A18" s="6">
        <v>12</v>
      </c>
      <c r="B18" s="34">
        <f t="shared" si="2"/>
        <v>46374</v>
      </c>
      <c r="C18" s="6">
        <f t="shared" si="0"/>
        <v>2.7</v>
      </c>
      <c r="D18" s="6">
        <f t="shared" si="1"/>
        <v>0</v>
      </c>
      <c r="E18" s="35"/>
    </row>
    <row r="19" spans="1:12" x14ac:dyDescent="0.25">
      <c r="A19" s="6">
        <v>13</v>
      </c>
      <c r="B19" s="34">
        <f t="shared" si="2"/>
        <v>46375</v>
      </c>
      <c r="C19" s="6">
        <f t="shared" si="0"/>
        <v>1.4</v>
      </c>
      <c r="D19" s="6">
        <f t="shared" si="1"/>
        <v>0</v>
      </c>
      <c r="E19" s="35"/>
    </row>
    <row r="20" spans="1:12" x14ac:dyDescent="0.25">
      <c r="A20" s="6">
        <v>14</v>
      </c>
      <c r="B20" s="34">
        <f t="shared" si="2"/>
        <v>46376</v>
      </c>
      <c r="C20" s="6">
        <f t="shared" si="0"/>
        <v>0</v>
      </c>
      <c r="D20" s="6">
        <f t="shared" si="1"/>
        <v>0</v>
      </c>
      <c r="E20" s="35"/>
    </row>
    <row r="22" spans="1:12" x14ac:dyDescent="0.25">
      <c r="A22" s="22" t="s">
        <v>326</v>
      </c>
    </row>
    <row r="23" spans="1:12" x14ac:dyDescent="0.25">
      <c r="A23" s="22" t="s">
        <v>327</v>
      </c>
    </row>
    <row r="26" spans="1:12" x14ac:dyDescent="0.25">
      <c r="H26" s="5" t="s">
        <v>328</v>
      </c>
      <c r="I26" s="5" t="s">
        <v>329</v>
      </c>
      <c r="J26" s="5" t="s">
        <v>17</v>
      </c>
      <c r="K26" s="5" t="s">
        <v>330</v>
      </c>
      <c r="L26" s="5" t="s">
        <v>331</v>
      </c>
    </row>
    <row r="27" spans="1:12" x14ac:dyDescent="0.25">
      <c r="H27" s="6" t="str">
        <f>LEFT(WBS!C66,4)</f>
        <v>PB13</v>
      </c>
      <c r="I27" s="6" t="str">
        <f>MID(WBS!C66,8,200)</f>
        <v>Nhận tiền gửi thường (thu khi giao hàng)</v>
      </c>
      <c r="J27" s="6">
        <f>WBS!E66</f>
        <v>3</v>
      </c>
      <c r="K27" s="8">
        <f>WBS!I66</f>
        <v>46364</v>
      </c>
      <c r="L27" s="6">
        <f>K27-$D$2+1</f>
        <v>2</v>
      </c>
    </row>
    <row r="28" spans="1:12" x14ac:dyDescent="0.25">
      <c r="H28" s="6" t="str">
        <f>LEFT(WBS!C70,4)</f>
        <v>PB14</v>
      </c>
      <c r="I28" s="6" t="str">
        <f>MID(WBS!C70,8,200)</f>
        <v>Nhận tiền gửi nhanh (chuyển khoản/trực tuyến)</v>
      </c>
      <c r="J28" s="6">
        <f>WBS!E70</f>
        <v>5</v>
      </c>
      <c r="K28" s="8">
        <f>WBS!I70</f>
        <v>46366</v>
      </c>
      <c r="L28" s="6">
        <f>K28-$D$2+1</f>
        <v>4</v>
      </c>
    </row>
    <row r="29" spans="1:12" x14ac:dyDescent="0.25">
      <c r="H29" s="6" t="str">
        <f>LEFT(WBS!C74,4)</f>
        <v>PB17</v>
      </c>
      <c r="I29" s="6" t="str">
        <f>MID(WBS!C74,8,200)</f>
        <v>Phân công nhân viên giao hàng</v>
      </c>
      <c r="J29" s="6">
        <f>WBS!E74</f>
        <v>3</v>
      </c>
      <c r="K29" s="8">
        <f>WBS!I74</f>
        <v>46370</v>
      </c>
      <c r="L29" s="6">
        <f>K29-$D$2+1</f>
        <v>8</v>
      </c>
    </row>
    <row r="30" spans="1:12" x14ac:dyDescent="0.25">
      <c r="H30" s="6" t="str">
        <f>LEFT(WBS!C78,4)</f>
        <v>PB18</v>
      </c>
      <c r="I30" s="6" t="str">
        <f>MID(WBS!C78,8,200)</f>
        <v>Giao hàng thường</v>
      </c>
      <c r="J30" s="6">
        <f>WBS!E78</f>
        <v>5</v>
      </c>
      <c r="K30" s="8">
        <f>WBS!I78</f>
        <v>46372</v>
      </c>
      <c r="L30" s="6">
        <f>K30-$D$2+1</f>
        <v>10</v>
      </c>
    </row>
    <row r="31" spans="1:12" x14ac:dyDescent="0.25">
      <c r="H31" s="6" t="str">
        <f>LEFT(WBS!C82,4)</f>
        <v>PB23</v>
      </c>
      <c r="I31" s="6" t="str">
        <f>MID(WBS!C82,8,200)</f>
        <v>Lập phiếu giao hàng</v>
      </c>
      <c r="J31" s="6">
        <f>WBS!E82</f>
        <v>3</v>
      </c>
      <c r="K31" s="8">
        <f>WBS!I82</f>
        <v>46374</v>
      </c>
      <c r="L31" s="6">
        <f>K31-$D$2+1</f>
        <v>12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29"/>
  <sheetViews>
    <sheetView zoomScaleNormal="100" workbookViewId="0"/>
  </sheetViews>
  <sheetFormatPr defaultColWidth="8.7109375" defaultRowHeight="15" x14ac:dyDescent="0.25"/>
  <cols>
    <col min="1" max="1" width="15" customWidth="1"/>
    <col min="2" max="2" width="12" customWidth="1"/>
    <col min="3" max="3" width="16" customWidth="1"/>
    <col min="4" max="4" width="18" customWidth="1"/>
    <col min="5" max="5" width="22" customWidth="1"/>
    <col min="6" max="6" width="10" customWidth="1"/>
    <col min="7" max="7" width="3" customWidth="1"/>
    <col min="8" max="8" width="9" customWidth="1"/>
    <col min="9" max="9" width="46" customWidth="1"/>
    <col min="10" max="10" width="10" customWidth="1"/>
    <col min="11" max="12" width="16" customWidth="1"/>
  </cols>
  <sheetData>
    <row r="1" spans="1:6" ht="16.5" x14ac:dyDescent="0.25">
      <c r="A1" s="4" t="s">
        <v>335</v>
      </c>
    </row>
    <row r="2" spans="1:6" x14ac:dyDescent="0.25">
      <c r="A2" s="3" t="s">
        <v>315</v>
      </c>
      <c r="B2" s="2">
        <f>WBS!E86</f>
        <v>18</v>
      </c>
      <c r="C2" s="3" t="s">
        <v>316</v>
      </c>
      <c r="D2" s="32">
        <f>WBS!H86</f>
        <v>46377</v>
      </c>
      <c r="E2" s="3" t="s">
        <v>317</v>
      </c>
      <c r="F2" s="2">
        <f>WBS!$D$2</f>
        <v>14</v>
      </c>
    </row>
    <row r="3" spans="1:6" x14ac:dyDescent="0.25">
      <c r="A3" s="3" t="s">
        <v>318</v>
      </c>
      <c r="B3" s="33">
        <f>WBS!F86</f>
        <v>72</v>
      </c>
      <c r="C3" s="3" t="s">
        <v>319</v>
      </c>
      <c r="D3" s="2">
        <f>NETWORKDAYS(D2,D2+F2-1)*WBS!$F$2</f>
        <v>80</v>
      </c>
      <c r="E3" s="3" t="s">
        <v>320</v>
      </c>
      <c r="F3" s="33">
        <f>D3-B3</f>
        <v>8</v>
      </c>
    </row>
    <row r="5" spans="1:6" ht="30" customHeight="1" x14ac:dyDescent="0.25">
      <c r="A5" s="5" t="s">
        <v>321</v>
      </c>
      <c r="B5" s="5" t="s">
        <v>322</v>
      </c>
      <c r="C5" s="5" t="s">
        <v>323</v>
      </c>
      <c r="D5" s="5" t="s">
        <v>324</v>
      </c>
      <c r="E5" s="5" t="s">
        <v>325</v>
      </c>
    </row>
    <row r="6" spans="1:6" x14ac:dyDescent="0.25">
      <c r="A6" s="6">
        <v>0</v>
      </c>
      <c r="B6" s="34" t="s">
        <v>19</v>
      </c>
      <c r="C6" s="6">
        <f t="shared" ref="C6:C20" si="0">ROUND($B$2*(1-A6/$F$2),1)</f>
        <v>18</v>
      </c>
      <c r="D6" s="6">
        <f t="shared" ref="D6:D20" si="1">$B$2-SUMIFS($J$27:$J$29,$L$27:$L$29,"&lt;="&amp;A6)</f>
        <v>18</v>
      </c>
      <c r="E6" s="6">
        <f>B2</f>
        <v>18</v>
      </c>
    </row>
    <row r="7" spans="1:6" x14ac:dyDescent="0.25">
      <c r="A7" s="6">
        <v>1</v>
      </c>
      <c r="B7" s="34">
        <f t="shared" ref="B7:B20" si="2">$D$2+A7-1</f>
        <v>46377</v>
      </c>
      <c r="C7" s="6">
        <f t="shared" si="0"/>
        <v>16.7</v>
      </c>
      <c r="D7" s="6">
        <f t="shared" si="1"/>
        <v>18</v>
      </c>
      <c r="E7" s="35"/>
    </row>
    <row r="8" spans="1:6" x14ac:dyDescent="0.25">
      <c r="A8" s="6">
        <v>2</v>
      </c>
      <c r="B8" s="34">
        <f t="shared" si="2"/>
        <v>46378</v>
      </c>
      <c r="C8" s="6">
        <f t="shared" si="0"/>
        <v>15.4</v>
      </c>
      <c r="D8" s="6">
        <f t="shared" si="1"/>
        <v>18</v>
      </c>
      <c r="E8" s="35"/>
    </row>
    <row r="9" spans="1:6" x14ac:dyDescent="0.25">
      <c r="A9" s="6">
        <v>3</v>
      </c>
      <c r="B9" s="34">
        <f t="shared" si="2"/>
        <v>46379</v>
      </c>
      <c r="C9" s="6">
        <f t="shared" si="0"/>
        <v>14.1</v>
      </c>
      <c r="D9" s="6">
        <f t="shared" si="1"/>
        <v>13</v>
      </c>
      <c r="E9" s="35"/>
    </row>
    <row r="10" spans="1:6" x14ac:dyDescent="0.25">
      <c r="A10" s="6">
        <v>4</v>
      </c>
      <c r="B10" s="34">
        <f t="shared" si="2"/>
        <v>46380</v>
      </c>
      <c r="C10" s="6">
        <f t="shared" si="0"/>
        <v>12.9</v>
      </c>
      <c r="D10" s="6">
        <f t="shared" si="1"/>
        <v>13</v>
      </c>
      <c r="E10" s="35"/>
    </row>
    <row r="11" spans="1:6" x14ac:dyDescent="0.25">
      <c r="A11" s="6">
        <v>5</v>
      </c>
      <c r="B11" s="34">
        <f t="shared" si="2"/>
        <v>46381</v>
      </c>
      <c r="C11" s="6">
        <f t="shared" si="0"/>
        <v>11.6</v>
      </c>
      <c r="D11" s="6">
        <f t="shared" si="1"/>
        <v>8</v>
      </c>
      <c r="E11" s="35"/>
    </row>
    <row r="12" spans="1:6" x14ac:dyDescent="0.25">
      <c r="A12" s="6">
        <v>6</v>
      </c>
      <c r="B12" s="34">
        <f t="shared" si="2"/>
        <v>46382</v>
      </c>
      <c r="C12" s="6">
        <f t="shared" si="0"/>
        <v>10.3</v>
      </c>
      <c r="D12" s="6">
        <f t="shared" si="1"/>
        <v>8</v>
      </c>
      <c r="E12" s="35"/>
    </row>
    <row r="13" spans="1:6" x14ac:dyDescent="0.25">
      <c r="A13" s="6">
        <v>7</v>
      </c>
      <c r="B13" s="34">
        <f t="shared" si="2"/>
        <v>46383</v>
      </c>
      <c r="C13" s="6">
        <f t="shared" si="0"/>
        <v>9</v>
      </c>
      <c r="D13" s="6">
        <f t="shared" si="1"/>
        <v>8</v>
      </c>
      <c r="E13" s="35"/>
    </row>
    <row r="14" spans="1:6" x14ac:dyDescent="0.25">
      <c r="A14" s="6">
        <v>8</v>
      </c>
      <c r="B14" s="34">
        <f t="shared" si="2"/>
        <v>46384</v>
      </c>
      <c r="C14" s="6">
        <f t="shared" si="0"/>
        <v>7.7</v>
      </c>
      <c r="D14" s="6">
        <f t="shared" si="1"/>
        <v>8</v>
      </c>
      <c r="E14" s="35"/>
    </row>
    <row r="15" spans="1:6" x14ac:dyDescent="0.25">
      <c r="A15" s="6">
        <v>9</v>
      </c>
      <c r="B15" s="34">
        <f t="shared" si="2"/>
        <v>46385</v>
      </c>
      <c r="C15" s="6">
        <f t="shared" si="0"/>
        <v>6.4</v>
      </c>
      <c r="D15" s="6">
        <f t="shared" si="1"/>
        <v>8</v>
      </c>
      <c r="E15" s="35"/>
    </row>
    <row r="16" spans="1:6" x14ac:dyDescent="0.25">
      <c r="A16" s="6">
        <v>10</v>
      </c>
      <c r="B16" s="34">
        <f t="shared" si="2"/>
        <v>46386</v>
      </c>
      <c r="C16" s="6">
        <f t="shared" si="0"/>
        <v>5.0999999999999996</v>
      </c>
      <c r="D16" s="6">
        <f t="shared" si="1"/>
        <v>8</v>
      </c>
      <c r="E16" s="35"/>
    </row>
    <row r="17" spans="1:12" x14ac:dyDescent="0.25">
      <c r="A17" s="6">
        <v>11</v>
      </c>
      <c r="B17" s="34">
        <f t="shared" si="2"/>
        <v>46387</v>
      </c>
      <c r="C17" s="6">
        <f t="shared" si="0"/>
        <v>3.9</v>
      </c>
      <c r="D17" s="6">
        <f t="shared" si="1"/>
        <v>0</v>
      </c>
      <c r="E17" s="35"/>
    </row>
    <row r="18" spans="1:12" x14ac:dyDescent="0.25">
      <c r="A18" s="6">
        <v>12</v>
      </c>
      <c r="B18" s="34">
        <f t="shared" si="2"/>
        <v>46388</v>
      </c>
      <c r="C18" s="6">
        <f t="shared" si="0"/>
        <v>2.6</v>
      </c>
      <c r="D18" s="6">
        <f t="shared" si="1"/>
        <v>0</v>
      </c>
      <c r="E18" s="35"/>
    </row>
    <row r="19" spans="1:12" x14ac:dyDescent="0.25">
      <c r="A19" s="6">
        <v>13</v>
      </c>
      <c r="B19" s="34">
        <f t="shared" si="2"/>
        <v>46389</v>
      </c>
      <c r="C19" s="6">
        <f t="shared" si="0"/>
        <v>1.3</v>
      </c>
      <c r="D19" s="6">
        <f t="shared" si="1"/>
        <v>0</v>
      </c>
      <c r="E19" s="35"/>
    </row>
    <row r="20" spans="1:12" x14ac:dyDescent="0.25">
      <c r="A20" s="6">
        <v>14</v>
      </c>
      <c r="B20" s="34">
        <f t="shared" si="2"/>
        <v>46390</v>
      </c>
      <c r="C20" s="6">
        <f t="shared" si="0"/>
        <v>0</v>
      </c>
      <c r="D20" s="6">
        <f t="shared" si="1"/>
        <v>0</v>
      </c>
      <c r="E20" s="35"/>
    </row>
    <row r="22" spans="1:12" x14ac:dyDescent="0.25">
      <c r="A22" s="22" t="s">
        <v>326</v>
      </c>
    </row>
    <row r="23" spans="1:12" x14ac:dyDescent="0.25">
      <c r="A23" s="22" t="s">
        <v>327</v>
      </c>
    </row>
    <row r="26" spans="1:12" x14ac:dyDescent="0.25">
      <c r="H26" s="5" t="s">
        <v>328</v>
      </c>
      <c r="I26" s="5" t="s">
        <v>329</v>
      </c>
      <c r="J26" s="5" t="s">
        <v>17</v>
      </c>
      <c r="K26" s="5" t="s">
        <v>330</v>
      </c>
      <c r="L26" s="5" t="s">
        <v>331</v>
      </c>
    </row>
    <row r="27" spans="1:12" x14ac:dyDescent="0.25">
      <c r="H27" s="6" t="str">
        <f>LEFT(WBS!C87,4)</f>
        <v>PB19</v>
      </c>
      <c r="I27" s="6" t="str">
        <f>MID(WBS!C87,8,200)</f>
        <v>Giao hàng nhanh</v>
      </c>
      <c r="J27" s="6">
        <f>WBS!E87</f>
        <v>5</v>
      </c>
      <c r="K27" s="8">
        <f>WBS!I87</f>
        <v>46379</v>
      </c>
      <c r="L27" s="6">
        <f>K27-$D$2+1</f>
        <v>3</v>
      </c>
    </row>
    <row r="28" spans="1:12" x14ac:dyDescent="0.25">
      <c r="H28" s="6" t="str">
        <f>LEFT(WBS!C91,4)</f>
        <v>PB20</v>
      </c>
      <c r="I28" s="6" t="str">
        <f>MID(WBS!C91,8,200)</f>
        <v>Cài đặt điểm check-in trên bản đồ</v>
      </c>
      <c r="J28" s="6">
        <f>WBS!E91</f>
        <v>5</v>
      </c>
      <c r="K28" s="8">
        <f>WBS!I91</f>
        <v>46381</v>
      </c>
      <c r="L28" s="6">
        <f>K28-$D$2+1</f>
        <v>5</v>
      </c>
    </row>
    <row r="29" spans="1:12" x14ac:dyDescent="0.25">
      <c r="H29" s="6" t="str">
        <f>LEFT(WBS!C95,4)</f>
        <v>PB21</v>
      </c>
      <c r="I29" s="6" t="str">
        <f>MID(WBS!C95,8,200)</f>
        <v>Tự động check-in khi qua điểm đã cài đặt</v>
      </c>
      <c r="J29" s="6">
        <f>WBS!E95</f>
        <v>8</v>
      </c>
      <c r="K29" s="8">
        <f>WBS!I95</f>
        <v>46387</v>
      </c>
      <c r="L29" s="6">
        <f>K29-$D$2+1</f>
        <v>11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31"/>
  <sheetViews>
    <sheetView zoomScaleNormal="100" workbookViewId="0"/>
  </sheetViews>
  <sheetFormatPr defaultColWidth="8.7109375" defaultRowHeight="15" x14ac:dyDescent="0.25"/>
  <cols>
    <col min="1" max="1" width="15" customWidth="1"/>
    <col min="2" max="2" width="12" customWidth="1"/>
    <col min="3" max="3" width="16" customWidth="1"/>
    <col min="4" max="4" width="18" customWidth="1"/>
    <col min="5" max="5" width="22" customWidth="1"/>
    <col min="6" max="6" width="10" customWidth="1"/>
    <col min="7" max="7" width="3" customWidth="1"/>
    <col min="8" max="8" width="9" customWidth="1"/>
    <col min="9" max="9" width="46" customWidth="1"/>
    <col min="10" max="10" width="10" customWidth="1"/>
    <col min="11" max="12" width="16" customWidth="1"/>
  </cols>
  <sheetData>
    <row r="1" spans="1:6" ht="16.5" x14ac:dyDescent="0.25">
      <c r="A1" s="4" t="s">
        <v>336</v>
      </c>
    </row>
    <row r="2" spans="1:6" x14ac:dyDescent="0.25">
      <c r="A2" s="3" t="s">
        <v>315</v>
      </c>
      <c r="B2" s="2">
        <f>WBS!E99</f>
        <v>17</v>
      </c>
      <c r="C2" s="3" t="s">
        <v>316</v>
      </c>
      <c r="D2" s="32">
        <f>WBS!H99</f>
        <v>46391</v>
      </c>
      <c r="E2" s="3" t="s">
        <v>317</v>
      </c>
      <c r="F2" s="2">
        <f>WBS!$D$2</f>
        <v>14</v>
      </c>
    </row>
    <row r="3" spans="1:6" x14ac:dyDescent="0.25">
      <c r="A3" s="3" t="s">
        <v>318</v>
      </c>
      <c r="B3" s="33">
        <f>WBS!F99</f>
        <v>68</v>
      </c>
      <c r="C3" s="3" t="s">
        <v>319</v>
      </c>
      <c r="D3" s="2">
        <f>NETWORKDAYS(D2,D2+F2-1)*WBS!$F$2</f>
        <v>80</v>
      </c>
      <c r="E3" s="3" t="s">
        <v>320</v>
      </c>
      <c r="F3" s="33">
        <f>D3-B3</f>
        <v>12</v>
      </c>
    </row>
    <row r="5" spans="1:6" ht="30" customHeight="1" x14ac:dyDescent="0.25">
      <c r="A5" s="5" t="s">
        <v>321</v>
      </c>
      <c r="B5" s="5" t="s">
        <v>322</v>
      </c>
      <c r="C5" s="5" t="s">
        <v>323</v>
      </c>
      <c r="D5" s="5" t="s">
        <v>324</v>
      </c>
      <c r="E5" s="5" t="s">
        <v>325</v>
      </c>
    </row>
    <row r="6" spans="1:6" x14ac:dyDescent="0.25">
      <c r="A6" s="6">
        <v>0</v>
      </c>
      <c r="B6" s="34" t="s">
        <v>19</v>
      </c>
      <c r="C6" s="6">
        <f t="shared" ref="C6:C20" si="0">ROUND($B$2*(1-A6/$F$2),1)</f>
        <v>17</v>
      </c>
      <c r="D6" s="6">
        <f t="shared" ref="D6:D20" si="1">$B$2-SUMIFS($J$27:$J$31,$L$27:$L$31,"&lt;="&amp;A6)</f>
        <v>17</v>
      </c>
      <c r="E6" s="6">
        <f>B2</f>
        <v>17</v>
      </c>
    </row>
    <row r="7" spans="1:6" x14ac:dyDescent="0.25">
      <c r="A7" s="6">
        <v>1</v>
      </c>
      <c r="B7" s="34">
        <f t="shared" ref="B7:B20" si="2">$D$2+A7-1</f>
        <v>46391</v>
      </c>
      <c r="C7" s="6">
        <f t="shared" si="0"/>
        <v>15.8</v>
      </c>
      <c r="D7" s="6">
        <f t="shared" si="1"/>
        <v>17</v>
      </c>
      <c r="E7" s="35"/>
    </row>
    <row r="8" spans="1:6" x14ac:dyDescent="0.25">
      <c r="A8" s="6">
        <v>2</v>
      </c>
      <c r="B8" s="34">
        <f t="shared" si="2"/>
        <v>46392</v>
      </c>
      <c r="C8" s="6">
        <f t="shared" si="0"/>
        <v>14.6</v>
      </c>
      <c r="D8" s="6">
        <f t="shared" si="1"/>
        <v>17</v>
      </c>
      <c r="E8" s="35"/>
    </row>
    <row r="9" spans="1:6" x14ac:dyDescent="0.25">
      <c r="A9" s="6">
        <v>3</v>
      </c>
      <c r="B9" s="34">
        <f t="shared" si="2"/>
        <v>46393</v>
      </c>
      <c r="C9" s="6">
        <f t="shared" si="0"/>
        <v>13.4</v>
      </c>
      <c r="D9" s="6">
        <f t="shared" si="1"/>
        <v>12</v>
      </c>
      <c r="E9" s="35"/>
    </row>
    <row r="10" spans="1:6" x14ac:dyDescent="0.25">
      <c r="A10" s="6">
        <v>4</v>
      </c>
      <c r="B10" s="34">
        <f t="shared" si="2"/>
        <v>46394</v>
      </c>
      <c r="C10" s="6">
        <f t="shared" si="0"/>
        <v>12.1</v>
      </c>
      <c r="D10" s="6">
        <f t="shared" si="1"/>
        <v>9</v>
      </c>
      <c r="E10" s="35"/>
    </row>
    <row r="11" spans="1:6" x14ac:dyDescent="0.25">
      <c r="A11" s="6">
        <v>5</v>
      </c>
      <c r="B11" s="34">
        <f t="shared" si="2"/>
        <v>46395</v>
      </c>
      <c r="C11" s="6">
        <f t="shared" si="0"/>
        <v>10.9</v>
      </c>
      <c r="D11" s="6">
        <f t="shared" si="1"/>
        <v>9</v>
      </c>
      <c r="E11" s="35"/>
    </row>
    <row r="12" spans="1:6" x14ac:dyDescent="0.25">
      <c r="A12" s="6">
        <v>6</v>
      </c>
      <c r="B12" s="34">
        <f t="shared" si="2"/>
        <v>46396</v>
      </c>
      <c r="C12" s="6">
        <f t="shared" si="0"/>
        <v>9.6999999999999993</v>
      </c>
      <c r="D12" s="6">
        <f t="shared" si="1"/>
        <v>9</v>
      </c>
      <c r="E12" s="35"/>
    </row>
    <row r="13" spans="1:6" x14ac:dyDescent="0.25">
      <c r="A13" s="6">
        <v>7</v>
      </c>
      <c r="B13" s="34">
        <f t="shared" si="2"/>
        <v>46397</v>
      </c>
      <c r="C13" s="6">
        <f t="shared" si="0"/>
        <v>8.5</v>
      </c>
      <c r="D13" s="6">
        <f t="shared" si="1"/>
        <v>9</v>
      </c>
      <c r="E13" s="35"/>
    </row>
    <row r="14" spans="1:6" x14ac:dyDescent="0.25">
      <c r="A14" s="6">
        <v>8</v>
      </c>
      <c r="B14" s="34">
        <f t="shared" si="2"/>
        <v>46398</v>
      </c>
      <c r="C14" s="6">
        <f t="shared" si="0"/>
        <v>7.3</v>
      </c>
      <c r="D14" s="6">
        <f t="shared" si="1"/>
        <v>6</v>
      </c>
      <c r="E14" s="35"/>
    </row>
    <row r="15" spans="1:6" x14ac:dyDescent="0.25">
      <c r="A15" s="6">
        <v>9</v>
      </c>
      <c r="B15" s="34">
        <f t="shared" si="2"/>
        <v>46399</v>
      </c>
      <c r="C15" s="6">
        <f t="shared" si="0"/>
        <v>6.1</v>
      </c>
      <c r="D15" s="6">
        <f t="shared" si="1"/>
        <v>3</v>
      </c>
      <c r="E15" s="35"/>
    </row>
    <row r="16" spans="1:6" x14ac:dyDescent="0.25">
      <c r="A16" s="6">
        <v>10</v>
      </c>
      <c r="B16" s="34">
        <f t="shared" si="2"/>
        <v>46400</v>
      </c>
      <c r="C16" s="6">
        <f t="shared" si="0"/>
        <v>4.9000000000000004</v>
      </c>
      <c r="D16" s="6">
        <f t="shared" si="1"/>
        <v>3</v>
      </c>
      <c r="E16" s="35"/>
    </row>
    <row r="17" spans="1:12" x14ac:dyDescent="0.25">
      <c r="A17" s="6">
        <v>11</v>
      </c>
      <c r="B17" s="34">
        <f t="shared" si="2"/>
        <v>46401</v>
      </c>
      <c r="C17" s="6">
        <f t="shared" si="0"/>
        <v>3.6</v>
      </c>
      <c r="D17" s="6">
        <f t="shared" si="1"/>
        <v>0</v>
      </c>
      <c r="E17" s="35"/>
    </row>
    <row r="18" spans="1:12" x14ac:dyDescent="0.25">
      <c r="A18" s="6">
        <v>12</v>
      </c>
      <c r="B18" s="34">
        <f t="shared" si="2"/>
        <v>46402</v>
      </c>
      <c r="C18" s="6">
        <f t="shared" si="0"/>
        <v>2.4</v>
      </c>
      <c r="D18" s="6">
        <f t="shared" si="1"/>
        <v>0</v>
      </c>
      <c r="E18" s="35"/>
    </row>
    <row r="19" spans="1:12" x14ac:dyDescent="0.25">
      <c r="A19" s="6">
        <v>13</v>
      </c>
      <c r="B19" s="34">
        <f t="shared" si="2"/>
        <v>46403</v>
      </c>
      <c r="C19" s="6">
        <f t="shared" si="0"/>
        <v>1.2</v>
      </c>
      <c r="D19" s="6">
        <f t="shared" si="1"/>
        <v>0</v>
      </c>
      <c r="E19" s="35"/>
    </row>
    <row r="20" spans="1:12" x14ac:dyDescent="0.25">
      <c r="A20" s="6">
        <v>14</v>
      </c>
      <c r="B20" s="34">
        <f t="shared" si="2"/>
        <v>46404</v>
      </c>
      <c r="C20" s="6">
        <f t="shared" si="0"/>
        <v>0</v>
      </c>
      <c r="D20" s="6">
        <f t="shared" si="1"/>
        <v>0</v>
      </c>
      <c r="E20" s="35"/>
    </row>
    <row r="22" spans="1:12" x14ac:dyDescent="0.25">
      <c r="A22" s="22" t="s">
        <v>326</v>
      </c>
    </row>
    <row r="23" spans="1:12" x14ac:dyDescent="0.25">
      <c r="A23" s="22" t="s">
        <v>327</v>
      </c>
    </row>
    <row r="26" spans="1:12" x14ac:dyDescent="0.25">
      <c r="H26" s="5" t="s">
        <v>328</v>
      </c>
      <c r="I26" s="5" t="s">
        <v>329</v>
      </c>
      <c r="J26" s="5" t="s">
        <v>17</v>
      </c>
      <c r="K26" s="5" t="s">
        <v>330</v>
      </c>
      <c r="L26" s="5" t="s">
        <v>331</v>
      </c>
    </row>
    <row r="27" spans="1:12" x14ac:dyDescent="0.25">
      <c r="H27" s="6" t="str">
        <f>LEFT(WBS!C100,4)</f>
        <v>PB22</v>
      </c>
      <c r="I27" s="6" t="str">
        <f>MID(WBS!C100,8,200)</f>
        <v>Khách hàng theo dõi hành trình đơn hàng</v>
      </c>
      <c r="J27" s="6">
        <f>WBS!E100</f>
        <v>5</v>
      </c>
      <c r="K27" s="8">
        <f>WBS!I100</f>
        <v>46393</v>
      </c>
      <c r="L27" s="6">
        <f>K27-$D$2+1</f>
        <v>3</v>
      </c>
    </row>
    <row r="28" spans="1:12" x14ac:dyDescent="0.25">
      <c r="H28" s="6" t="str">
        <f>LEFT(WBS!C104,4)</f>
        <v>PB24</v>
      </c>
      <c r="I28" s="6" t="str">
        <f>MID(WBS!C104,8,200)</f>
        <v>Giao tận nơi, xác nhận đã giao theo phiếu</v>
      </c>
      <c r="J28" s="6">
        <f>WBS!E104</f>
        <v>3</v>
      </c>
      <c r="K28" s="8">
        <f>WBS!I104</f>
        <v>46394</v>
      </c>
      <c r="L28" s="6">
        <f>K28-$D$2+1</f>
        <v>4</v>
      </c>
    </row>
    <row r="29" spans="1:12" x14ac:dyDescent="0.25">
      <c r="H29" s="6" t="str">
        <f>LEFT(WBS!C108,4)</f>
        <v>PB25</v>
      </c>
      <c r="I29" s="6" t="str">
        <f>MID(WBS!C108,8,200)</f>
        <v>Báo giao thất bại và hoàn hàng</v>
      </c>
      <c r="J29" s="6">
        <f>WBS!E108</f>
        <v>3</v>
      </c>
      <c r="K29" s="8">
        <f>WBS!I108</f>
        <v>46398</v>
      </c>
      <c r="L29" s="6">
        <f>K29-$D$2+1</f>
        <v>8</v>
      </c>
    </row>
    <row r="30" spans="1:12" x14ac:dyDescent="0.25">
      <c r="H30" s="6" t="str">
        <f>LEFT(WBS!C112,4)</f>
        <v>PB26</v>
      </c>
      <c r="I30" s="6" t="str">
        <f>MID(WBS!C112,8,200)</f>
        <v>Tra cứu đơn hàng</v>
      </c>
      <c r="J30" s="6">
        <f>WBS!E112</f>
        <v>3</v>
      </c>
      <c r="K30" s="8">
        <f>WBS!I112</f>
        <v>46399</v>
      </c>
      <c r="L30" s="6">
        <f>K30-$D$2+1</f>
        <v>9</v>
      </c>
    </row>
    <row r="31" spans="1:12" x14ac:dyDescent="0.25">
      <c r="H31" s="6" t="str">
        <f>LEFT(WBS!C116,4)</f>
        <v>PB27</v>
      </c>
      <c r="I31" s="6" t="str">
        <f>MID(WBS!C116,8,200)</f>
        <v>Báo cáo thống kê</v>
      </c>
      <c r="J31" s="6">
        <f>WBS!E116</f>
        <v>3</v>
      </c>
      <c r="K31" s="8">
        <f>WBS!I116</f>
        <v>46401</v>
      </c>
      <c r="L31" s="6">
        <f>K31-$D$2+1</f>
        <v>11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Huong dan</vt:lpstr>
      <vt:lpstr>Tong hop</vt:lpstr>
      <vt:lpstr>WBS</vt:lpstr>
      <vt:lpstr>Gantt</vt:lpstr>
      <vt:lpstr>Resources</vt:lpstr>
      <vt:lpstr>Sprint 1</vt:lpstr>
      <vt:lpstr>Sprint 2</vt:lpstr>
      <vt:lpstr>Sprint 3</vt:lpstr>
      <vt:lpstr>Sprint 4</vt:lpstr>
      <vt:lpstr>Sprint 5</vt:lpstr>
      <vt:lpstr>Sprint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nazu a</cp:lastModifiedBy>
  <cp:revision>1</cp:revision>
  <dcterms:created xsi:type="dcterms:W3CDTF">2026-10-22T07:12:25Z</dcterms:created>
  <dcterms:modified xsi:type="dcterms:W3CDTF">2026-10-22T07:13:50Z</dcterms:modified>
  <dc:language>en-US</dc:language>
</cp:coreProperties>
</file>